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\Downloads\"/>
    </mc:Choice>
  </mc:AlternateContent>
  <xr:revisionPtr revIDLastSave="0" documentId="13_ncr:1_{7FB7B9A6-07F1-4042-B7E5-6744B676BED2}" xr6:coauthVersionLast="47" xr6:coauthVersionMax="47" xr10:uidLastSave="{00000000-0000-0000-0000-000000000000}"/>
  <workbookProtection workbookAlgorithmName="SHA-512" workbookHashValue="A+BeDtOpxU59DmOUetW5EGSFQwEgjYXdv1WwBPRDJnnByCIY6V1zBlF4dM8Vi7PaFJ1+G4gM4xc+9+hvWy6IeA==" workbookSaltValue="WhtcBgcjdCSTE4S/wamMmA==" workbookSpinCount="100000" lockStructure="1"/>
  <bookViews>
    <workbookView xWindow="-108" yWindow="-108" windowWidth="23256" windowHeight="13176" xr2:uid="{D221A6A9-3C72-4B12-8A8B-1B1E84A7BE39}"/>
  </bookViews>
  <sheets>
    <sheet name="Check Inventory" sheetId="6" r:id="rId1"/>
    <sheet name="Record Sale" sheetId="8" state="veryHidden" r:id="rId2"/>
    <sheet name="Sales Inventory" sheetId="10" state="veryHidden" r:id="rId3"/>
    <sheet name="Sales History" sheetId="9" state="veryHidden" r:id="rId4"/>
    <sheet name="Add Inventory" sheetId="3" state="veryHidden" r:id="rId5"/>
    <sheet name="Update Inventory" sheetId="7" state="veryHidden" r:id="rId6"/>
    <sheet name="Inventory" sheetId="2" state="veryHidden" r:id="rId7"/>
    <sheet name="Data" sheetId="4" state="hidden" r:id="rId8"/>
  </sheets>
  <definedNames>
    <definedName name="_xlnm._FilterDatabase" localSheetId="0" hidden="1">'Check Inventory'!$B$7:$S$203</definedName>
    <definedName name="_xlnm._FilterDatabase" localSheetId="6" hidden="1">Inventory!$A:$X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8" i="2" l="1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U2" i="2"/>
  <c r="U3" i="2"/>
  <c r="U4" i="2"/>
  <c r="U5" i="2"/>
  <c r="U6" i="2"/>
  <c r="U7" i="2"/>
  <c r="U8" i="2"/>
  <c r="U9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7" i="2"/>
  <c r="U38" i="2"/>
  <c r="U39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8" i="2"/>
  <c r="U59" i="2"/>
  <c r="U60" i="2"/>
  <c r="U61" i="2"/>
  <c r="U62" i="2"/>
  <c r="U64" i="2"/>
  <c r="U65" i="2"/>
  <c r="U67" i="2"/>
  <c r="U68" i="2"/>
  <c r="U69" i="2"/>
  <c r="U71" i="2"/>
  <c r="U72" i="2"/>
  <c r="U73" i="2"/>
  <c r="U75" i="2"/>
  <c r="U76" i="2"/>
  <c r="U77" i="2"/>
  <c r="U79" i="2"/>
  <c r="U80" i="2"/>
  <c r="U81" i="2"/>
  <c r="U82" i="2"/>
  <c r="U83" i="2"/>
  <c r="U85" i="2"/>
  <c r="U86" i="2"/>
  <c r="U87" i="2"/>
  <c r="U88" i="2"/>
  <c r="U90" i="2"/>
  <c r="U91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6" i="2"/>
  <c r="U127" i="2"/>
  <c r="U128" i="2"/>
  <c r="U129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4" i="2"/>
  <c r="U156" i="2"/>
  <c r="U157" i="2"/>
  <c r="U158" i="2"/>
  <c r="U159" i="2"/>
  <c r="U161" i="2"/>
  <c r="U163" i="2"/>
  <c r="U166" i="2"/>
  <c r="U168" i="2"/>
  <c r="U169" i="2"/>
  <c r="U170" i="2"/>
  <c r="U171" i="2"/>
  <c r="U173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90" i="2"/>
  <c r="U191" i="2"/>
  <c r="U193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N22" i="7"/>
  <c r="N24" i="7" s="1"/>
  <c r="N26" i="7" s="1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K17" i="3"/>
  <c r="K29" i="3" s="1"/>
  <c r="K30" i="3" s="1"/>
  <c r="G8" i="6" a="1"/>
  <c r="G8" i="6" s="1"/>
  <c r="F8" i="6" a="1"/>
  <c r="F8" i="6" s="1"/>
  <c r="E8" i="6" a="1"/>
  <c r="E8" i="6" s="1"/>
  <c r="D8" i="6" a="1"/>
  <c r="D8" i="6" s="1"/>
  <c r="C8" i="6" a="1"/>
  <c r="C8" i="6" s="1"/>
  <c r="N162" i="2"/>
  <c r="P162" i="2" s="1"/>
  <c r="Q162" i="2" s="1"/>
  <c r="N161" i="2"/>
  <c r="P161" i="2" s="1"/>
  <c r="Q161" i="2" s="1"/>
  <c r="N131" i="2"/>
  <c r="P131" i="2" s="1"/>
  <c r="Q131" i="2" s="1"/>
  <c r="N104" i="2"/>
  <c r="P104" i="2" s="1"/>
  <c r="Q104" i="2" s="1"/>
  <c r="S104" i="2" s="1"/>
  <c r="N103" i="2"/>
  <c r="P103" i="2" s="1"/>
  <c r="Q103" i="2" s="1"/>
  <c r="N102" i="2"/>
  <c r="P102" i="2" s="1"/>
  <c r="Q102" i="2" s="1"/>
  <c r="N98" i="2"/>
  <c r="P98" i="2" s="1"/>
  <c r="Q98" i="2" s="1"/>
  <c r="N91" i="2"/>
  <c r="P91" i="2" s="1"/>
  <c r="Q91" i="2" s="1"/>
  <c r="N84" i="2"/>
  <c r="P84" i="2" s="1"/>
  <c r="Q84" i="2" s="1"/>
  <c r="N77" i="2"/>
  <c r="P77" i="2" s="1"/>
  <c r="Q77" i="2" s="1"/>
  <c r="N76" i="2"/>
  <c r="P76" i="2" s="1"/>
  <c r="Q76" i="2" s="1"/>
  <c r="N75" i="2"/>
  <c r="P75" i="2" s="1"/>
  <c r="Q75" i="2" s="1"/>
  <c r="N74" i="2"/>
  <c r="P74" i="2" s="1"/>
  <c r="Q74" i="2" s="1"/>
  <c r="N73" i="2"/>
  <c r="P73" i="2" s="1"/>
  <c r="Q73" i="2" s="1"/>
  <c r="N71" i="2"/>
  <c r="P71" i="2" s="1"/>
  <c r="Q71" i="2" s="1"/>
  <c r="S71" i="2" s="1"/>
  <c r="N70" i="2"/>
  <c r="P70" i="2" s="1"/>
  <c r="Q70" i="2" s="1"/>
  <c r="S70" i="2" s="1"/>
  <c r="N69" i="2"/>
  <c r="P69" i="2" s="1"/>
  <c r="Q69" i="2" s="1"/>
  <c r="N68" i="2"/>
  <c r="P68" i="2" s="1"/>
  <c r="Q68" i="2" s="1"/>
  <c r="S68" i="2" s="1"/>
  <c r="N67" i="2"/>
  <c r="P67" i="2" s="1"/>
  <c r="Q67" i="2" s="1"/>
  <c r="S67" i="2" s="1"/>
  <c r="N66" i="2"/>
  <c r="P66" i="2" s="1"/>
  <c r="Q66" i="2" s="1"/>
  <c r="S66" i="2" s="1"/>
  <c r="N65" i="2"/>
  <c r="P65" i="2" s="1"/>
  <c r="Q65" i="2" s="1"/>
  <c r="S65" i="2" s="1"/>
  <c r="N64" i="2"/>
  <c r="P64" i="2" s="1"/>
  <c r="Q64" i="2" s="1"/>
  <c r="S64" i="2" s="1"/>
  <c r="N63" i="2"/>
  <c r="P63" i="2" s="1"/>
  <c r="Q63" i="2" s="1"/>
  <c r="S63" i="2" s="1"/>
  <c r="N62" i="2"/>
  <c r="P62" i="2" s="1"/>
  <c r="Q62" i="2" s="1"/>
  <c r="S62" i="2" s="1"/>
  <c r="N61" i="2"/>
  <c r="P61" i="2" s="1"/>
  <c r="Q61" i="2" s="1"/>
  <c r="S61" i="2" s="1"/>
  <c r="N60" i="2"/>
  <c r="P60" i="2" s="1"/>
  <c r="Q60" i="2" s="1"/>
  <c r="S60" i="2" s="1"/>
  <c r="N57" i="2"/>
  <c r="P57" i="2" s="1"/>
  <c r="Q57" i="2" s="1"/>
  <c r="S57" i="2" s="1"/>
  <c r="N56" i="2"/>
  <c r="P56" i="2" s="1"/>
  <c r="Q56" i="2" s="1"/>
  <c r="S56" i="2" s="1"/>
  <c r="N55" i="2"/>
  <c r="P55" i="2" s="1"/>
  <c r="Q55" i="2" s="1"/>
  <c r="S55" i="2" s="1"/>
  <c r="N54" i="2"/>
  <c r="P54" i="2" s="1"/>
  <c r="Q54" i="2" s="1"/>
  <c r="S54" i="2" s="1"/>
  <c r="N53" i="2"/>
  <c r="P53" i="2" s="1"/>
  <c r="Q53" i="2" s="1"/>
  <c r="N52" i="2"/>
  <c r="P52" i="2" s="1"/>
  <c r="Q52" i="2" s="1"/>
  <c r="S52" i="2" s="1"/>
  <c r="N51" i="2"/>
  <c r="P51" i="2" s="1"/>
  <c r="Q51" i="2" s="1"/>
  <c r="S51" i="2" s="1"/>
  <c r="N50" i="2"/>
  <c r="P50" i="2" s="1"/>
  <c r="Q50" i="2" s="1"/>
  <c r="S50" i="2" s="1"/>
  <c r="N49" i="2"/>
  <c r="P49" i="2" s="1"/>
  <c r="Q49" i="2" s="1"/>
  <c r="S49" i="2" s="1"/>
  <c r="N48" i="2"/>
  <c r="P48" i="2" s="1"/>
  <c r="Q48" i="2" s="1"/>
  <c r="N47" i="2"/>
  <c r="P47" i="2" s="1"/>
  <c r="Q47" i="2" s="1"/>
  <c r="S47" i="2" s="1"/>
  <c r="N46" i="2"/>
  <c r="P46" i="2" s="1"/>
  <c r="Q46" i="2" s="1"/>
  <c r="S46" i="2" s="1"/>
  <c r="N45" i="2"/>
  <c r="P45" i="2" s="1"/>
  <c r="Q45" i="2" s="1"/>
  <c r="N44" i="2"/>
  <c r="P44" i="2" s="1"/>
  <c r="Q44" i="2" s="1"/>
  <c r="N43" i="2"/>
  <c r="P43" i="2" s="1"/>
  <c r="Q43" i="2" s="1"/>
  <c r="S43" i="2" s="1"/>
  <c r="N42" i="2"/>
  <c r="P42" i="2" s="1"/>
  <c r="Q42" i="2" s="1"/>
  <c r="S42" i="2" s="1"/>
  <c r="N40" i="2"/>
  <c r="P40" i="2" s="1"/>
  <c r="Q40" i="2" s="1"/>
  <c r="S40" i="2" s="1"/>
  <c r="N39" i="2"/>
  <c r="P39" i="2" s="1"/>
  <c r="Q39" i="2" s="1"/>
  <c r="S39" i="2" s="1"/>
  <c r="N38" i="2"/>
  <c r="P38" i="2" s="1"/>
  <c r="Q38" i="2" s="1"/>
  <c r="S38" i="2" s="1"/>
  <c r="N37" i="2"/>
  <c r="P37" i="2" s="1"/>
  <c r="Q37" i="2" s="1"/>
  <c r="S37" i="2" s="1"/>
  <c r="N36" i="2"/>
  <c r="P36" i="2" s="1"/>
  <c r="Q36" i="2" s="1"/>
  <c r="S36" i="2" s="1"/>
  <c r="N35" i="2"/>
  <c r="P35" i="2" s="1"/>
  <c r="Q35" i="2" s="1"/>
  <c r="S35" i="2" s="1"/>
  <c r="N34" i="2"/>
  <c r="P34" i="2" s="1"/>
  <c r="Q34" i="2" s="1"/>
  <c r="S34" i="2" s="1"/>
  <c r="N33" i="2"/>
  <c r="P33" i="2" s="1"/>
  <c r="Q33" i="2" s="1"/>
  <c r="S33" i="2" s="1"/>
  <c r="N31" i="2"/>
  <c r="P31" i="2" s="1"/>
  <c r="Q31" i="2" s="1"/>
  <c r="S31" i="2" s="1"/>
  <c r="N30" i="2"/>
  <c r="P30" i="2" s="1"/>
  <c r="Q30" i="2" s="1"/>
  <c r="S30" i="2" s="1"/>
  <c r="N29" i="2"/>
  <c r="P29" i="2" s="1"/>
  <c r="Q29" i="2" s="1"/>
  <c r="N28" i="2"/>
  <c r="P28" i="2" s="1"/>
  <c r="Q28" i="2" s="1"/>
  <c r="S28" i="2" s="1"/>
  <c r="N27" i="2"/>
  <c r="P27" i="2" s="1"/>
  <c r="Q27" i="2" s="1"/>
  <c r="S27" i="2" s="1"/>
  <c r="N26" i="2"/>
  <c r="P26" i="2" s="1"/>
  <c r="Q26" i="2" s="1"/>
  <c r="S26" i="2" s="1"/>
  <c r="N25" i="2"/>
  <c r="P25" i="2" s="1"/>
  <c r="Q25" i="2" s="1"/>
  <c r="S25" i="2" s="1"/>
  <c r="N24" i="2"/>
  <c r="P24" i="2" s="1"/>
  <c r="Q24" i="2" s="1"/>
  <c r="S24" i="2" s="1"/>
  <c r="N23" i="2"/>
  <c r="P23" i="2" s="1"/>
  <c r="Q23" i="2" s="1"/>
  <c r="S23" i="2" s="1"/>
  <c r="N22" i="2"/>
  <c r="P22" i="2" s="1"/>
  <c r="Q22" i="2" s="1"/>
  <c r="N21" i="2"/>
  <c r="P21" i="2" s="1"/>
  <c r="Q21" i="2" s="1"/>
  <c r="S21" i="2" s="1"/>
  <c r="N20" i="2"/>
  <c r="P20" i="2" s="1"/>
  <c r="Q20" i="2" s="1"/>
  <c r="S20" i="2" s="1"/>
  <c r="N18" i="2"/>
  <c r="P18" i="2" s="1"/>
  <c r="Q18" i="2" s="1"/>
  <c r="S18" i="2" s="1"/>
  <c r="N15" i="2"/>
  <c r="P15" i="2" s="1"/>
  <c r="Q15" i="2" s="1"/>
  <c r="S15" i="2" s="1"/>
  <c r="N14" i="2"/>
  <c r="P14" i="2" s="1"/>
  <c r="Q14" i="2" s="1"/>
  <c r="S14" i="2" s="1"/>
  <c r="N13" i="2"/>
  <c r="P13" i="2" s="1"/>
  <c r="Q13" i="2" s="1"/>
  <c r="S13" i="2" s="1"/>
  <c r="N11" i="2"/>
  <c r="P11" i="2" s="1"/>
  <c r="Q11" i="2" s="1"/>
  <c r="S11" i="2" s="1"/>
  <c r="N10" i="2"/>
  <c r="P10" i="2" s="1"/>
  <c r="Q10" i="2" s="1"/>
  <c r="S10" i="2" s="1"/>
  <c r="N9" i="2"/>
  <c r="P9" i="2" s="1"/>
  <c r="Q9" i="2" s="1"/>
  <c r="S9" i="2" s="1"/>
  <c r="N8" i="2"/>
  <c r="P8" i="2" s="1"/>
  <c r="Q8" i="2" s="1"/>
  <c r="S8" i="2" s="1"/>
  <c r="K162" i="2"/>
  <c r="K131" i="2"/>
  <c r="K104" i="2"/>
  <c r="K103" i="2"/>
  <c r="K102" i="2"/>
  <c r="K98" i="2"/>
  <c r="K91" i="2"/>
  <c r="K84" i="2"/>
  <c r="K77" i="2"/>
  <c r="K76" i="2"/>
  <c r="K75" i="2"/>
  <c r="K74" i="2"/>
  <c r="K73" i="2"/>
  <c r="K71" i="2"/>
  <c r="K70" i="2"/>
  <c r="K69" i="2"/>
  <c r="K68" i="2"/>
  <c r="K67" i="2"/>
  <c r="K66" i="2"/>
  <c r="K65" i="2"/>
  <c r="K64" i="2"/>
  <c r="K63" i="2"/>
  <c r="K62" i="2"/>
  <c r="K61" i="2"/>
  <c r="K60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0" i="2"/>
  <c r="K39" i="2"/>
  <c r="K38" i="2"/>
  <c r="K37" i="2"/>
  <c r="K36" i="2"/>
  <c r="K35" i="2"/>
  <c r="K34" i="2"/>
  <c r="K33" i="2"/>
  <c r="K31" i="2"/>
  <c r="K30" i="2"/>
  <c r="K29" i="2"/>
  <c r="K28" i="2"/>
  <c r="K27" i="2"/>
  <c r="K26" i="2"/>
  <c r="K25" i="2"/>
  <c r="K24" i="2"/>
  <c r="K23" i="2"/>
  <c r="K22" i="2"/>
  <c r="K21" i="2"/>
  <c r="K20" i="2"/>
  <c r="K18" i="2"/>
  <c r="K15" i="2"/>
  <c r="K14" i="2"/>
  <c r="K13" i="2"/>
  <c r="K11" i="2"/>
  <c r="K10" i="2"/>
  <c r="K9" i="2"/>
  <c r="K8" i="2"/>
  <c r="H170" i="2"/>
  <c r="K170" i="2" s="1"/>
  <c r="N170" i="2" s="1"/>
  <c r="P170" i="2" s="1"/>
  <c r="Q170" i="2" s="1"/>
  <c r="S170" i="2" s="1"/>
  <c r="T170" i="2" s="1"/>
  <c r="H169" i="2"/>
  <c r="H168" i="2"/>
  <c r="K168" i="2" s="1"/>
  <c r="N168" i="2" s="1"/>
  <c r="P168" i="2" s="1"/>
  <c r="Q168" i="2" s="1"/>
  <c r="S168" i="2" s="1"/>
  <c r="T168" i="2" s="1"/>
  <c r="H167" i="2"/>
  <c r="K167" i="2" s="1"/>
  <c r="N167" i="2" s="1"/>
  <c r="P167" i="2" s="1"/>
  <c r="Q167" i="2" s="1"/>
  <c r="S167" i="2" s="1"/>
  <c r="T167" i="2" s="1"/>
  <c r="H166" i="2"/>
  <c r="K166" i="2" s="1"/>
  <c r="N166" i="2" s="1"/>
  <c r="P166" i="2" s="1"/>
  <c r="Q166" i="2" s="1"/>
  <c r="S166" i="2" s="1"/>
  <c r="T166" i="2" s="1"/>
  <c r="H165" i="2"/>
  <c r="K165" i="2" s="1"/>
  <c r="N165" i="2" s="1"/>
  <c r="P165" i="2" s="1"/>
  <c r="Q165" i="2" s="1"/>
  <c r="S165" i="2" s="1"/>
  <c r="T165" i="2" s="1"/>
  <c r="H164" i="2"/>
  <c r="K164" i="2" s="1"/>
  <c r="N164" i="2" s="1"/>
  <c r="P164" i="2" s="1"/>
  <c r="Q164" i="2" s="1"/>
  <c r="S164" i="2" s="1"/>
  <c r="T164" i="2" s="1"/>
  <c r="H163" i="2"/>
  <c r="K163" i="2" s="1"/>
  <c r="N163" i="2" s="1"/>
  <c r="P163" i="2" s="1"/>
  <c r="Q163" i="2" s="1"/>
  <c r="S163" i="2" s="1"/>
  <c r="T163" i="2" s="1"/>
  <c r="H162" i="2"/>
  <c r="H160" i="2"/>
  <c r="H159" i="2"/>
  <c r="H158" i="2"/>
  <c r="K158" i="2" s="1"/>
  <c r="N158" i="2" s="1"/>
  <c r="P158" i="2" s="1"/>
  <c r="Q158" i="2" s="1"/>
  <c r="S158" i="2" s="1"/>
  <c r="T158" i="2" s="1"/>
  <c r="H157" i="2"/>
  <c r="H156" i="2"/>
  <c r="K156" i="2" s="1"/>
  <c r="N156" i="2" s="1"/>
  <c r="P156" i="2" s="1"/>
  <c r="Q156" i="2" s="1"/>
  <c r="S156" i="2" s="1"/>
  <c r="T156" i="2" s="1"/>
  <c r="H155" i="2"/>
  <c r="K155" i="2" s="1"/>
  <c r="N155" i="2" s="1"/>
  <c r="P155" i="2" s="1"/>
  <c r="Q155" i="2" s="1"/>
  <c r="S155" i="2" s="1"/>
  <c r="T155" i="2" s="1"/>
  <c r="H154" i="2"/>
  <c r="K154" i="2" s="1"/>
  <c r="N154" i="2" s="1"/>
  <c r="P154" i="2" s="1"/>
  <c r="Q154" i="2" s="1"/>
  <c r="S154" i="2" s="1"/>
  <c r="T154" i="2" s="1"/>
  <c r="H153" i="2"/>
  <c r="K153" i="2" s="1"/>
  <c r="N153" i="2" s="1"/>
  <c r="P153" i="2" s="1"/>
  <c r="Q153" i="2" s="1"/>
  <c r="S153" i="2" s="1"/>
  <c r="T153" i="2" s="1"/>
  <c r="H152" i="2"/>
  <c r="K152" i="2" s="1"/>
  <c r="N152" i="2" s="1"/>
  <c r="P152" i="2" s="1"/>
  <c r="Q152" i="2" s="1"/>
  <c r="S152" i="2" s="1"/>
  <c r="T152" i="2" s="1"/>
  <c r="H151" i="2"/>
  <c r="K151" i="2" s="1"/>
  <c r="N151" i="2" s="1"/>
  <c r="P151" i="2" s="1"/>
  <c r="Q151" i="2" s="1"/>
  <c r="S151" i="2" s="1"/>
  <c r="T151" i="2" s="1"/>
  <c r="H150" i="2"/>
  <c r="K150" i="2" s="1"/>
  <c r="N150" i="2" s="1"/>
  <c r="P150" i="2" s="1"/>
  <c r="Q150" i="2" s="1"/>
  <c r="S150" i="2" s="1"/>
  <c r="T150" i="2" s="1"/>
  <c r="H149" i="2"/>
  <c r="H148" i="2"/>
  <c r="K148" i="2" s="1"/>
  <c r="N148" i="2" s="1"/>
  <c r="P148" i="2" s="1"/>
  <c r="Q148" i="2" s="1"/>
  <c r="S148" i="2" s="1"/>
  <c r="T148" i="2" s="1"/>
  <c r="H147" i="2"/>
  <c r="H146" i="2"/>
  <c r="H145" i="2"/>
  <c r="K145" i="2" s="1"/>
  <c r="N145" i="2" s="1"/>
  <c r="P145" i="2" s="1"/>
  <c r="Q145" i="2" s="1"/>
  <c r="S145" i="2" s="1"/>
  <c r="T145" i="2" s="1"/>
  <c r="H144" i="2"/>
  <c r="K144" i="2" s="1"/>
  <c r="N144" i="2" s="1"/>
  <c r="P144" i="2" s="1"/>
  <c r="Q144" i="2" s="1"/>
  <c r="S144" i="2" s="1"/>
  <c r="T144" i="2" s="1"/>
  <c r="H143" i="2"/>
  <c r="H142" i="2"/>
  <c r="K142" i="2" s="1"/>
  <c r="N142" i="2" s="1"/>
  <c r="P142" i="2" s="1"/>
  <c r="Q142" i="2" s="1"/>
  <c r="S142" i="2" s="1"/>
  <c r="T142" i="2" s="1"/>
  <c r="H141" i="2"/>
  <c r="H140" i="2"/>
  <c r="K140" i="2" s="1"/>
  <c r="N140" i="2" s="1"/>
  <c r="P140" i="2" s="1"/>
  <c r="Q140" i="2" s="1"/>
  <c r="S140" i="2" s="1"/>
  <c r="T140" i="2" s="1"/>
  <c r="H139" i="2"/>
  <c r="K139" i="2" s="1"/>
  <c r="N139" i="2" s="1"/>
  <c r="P139" i="2" s="1"/>
  <c r="Q139" i="2" s="1"/>
  <c r="H138" i="2"/>
  <c r="K138" i="2" s="1"/>
  <c r="N138" i="2" s="1"/>
  <c r="P138" i="2" s="1"/>
  <c r="Q138" i="2" s="1"/>
  <c r="S138" i="2" s="1"/>
  <c r="T138" i="2" s="1"/>
  <c r="H137" i="2"/>
  <c r="K137" i="2" s="1"/>
  <c r="N137" i="2" s="1"/>
  <c r="P137" i="2" s="1"/>
  <c r="Q137" i="2" s="1"/>
  <c r="S137" i="2" s="1"/>
  <c r="T137" i="2" s="1"/>
  <c r="H136" i="2"/>
  <c r="K136" i="2" s="1"/>
  <c r="N136" i="2" s="1"/>
  <c r="P136" i="2" s="1"/>
  <c r="Q136" i="2" s="1"/>
  <c r="S136" i="2" s="1"/>
  <c r="T136" i="2" s="1"/>
  <c r="H135" i="2"/>
  <c r="K135" i="2" s="1"/>
  <c r="N135" i="2" s="1"/>
  <c r="P135" i="2" s="1"/>
  <c r="Q135" i="2" s="1"/>
  <c r="S135" i="2" s="1"/>
  <c r="T135" i="2" s="1"/>
  <c r="H134" i="2"/>
  <c r="K134" i="2" s="1"/>
  <c r="N134" i="2" s="1"/>
  <c r="P134" i="2" s="1"/>
  <c r="Q134" i="2" s="1"/>
  <c r="S134" i="2" s="1"/>
  <c r="T134" i="2" s="1"/>
  <c r="H133" i="2"/>
  <c r="K133" i="2" s="1"/>
  <c r="N133" i="2" s="1"/>
  <c r="P133" i="2" s="1"/>
  <c r="Q133" i="2" s="1"/>
  <c r="H132" i="2"/>
  <c r="K132" i="2" s="1"/>
  <c r="N132" i="2" s="1"/>
  <c r="P132" i="2" s="1"/>
  <c r="Q132" i="2" s="1"/>
  <c r="S132" i="2" s="1"/>
  <c r="T132" i="2" s="1"/>
  <c r="H131" i="2"/>
  <c r="H130" i="2"/>
  <c r="K130" i="2" s="1"/>
  <c r="N130" i="2" s="1"/>
  <c r="P130" i="2" s="1"/>
  <c r="Q130" i="2" s="1"/>
  <c r="S130" i="2" s="1"/>
  <c r="T130" i="2" s="1"/>
  <c r="H129" i="2"/>
  <c r="K129" i="2" s="1"/>
  <c r="N129" i="2" s="1"/>
  <c r="P129" i="2" s="1"/>
  <c r="Q129" i="2" s="1"/>
  <c r="S129" i="2" s="1"/>
  <c r="T129" i="2" s="1"/>
  <c r="H128" i="2"/>
  <c r="K128" i="2" s="1"/>
  <c r="N128" i="2" s="1"/>
  <c r="P128" i="2" s="1"/>
  <c r="Q128" i="2" s="1"/>
  <c r="H127" i="2"/>
  <c r="H126" i="2"/>
  <c r="H125" i="2"/>
  <c r="H124" i="2"/>
  <c r="K124" i="2" s="1"/>
  <c r="N124" i="2" s="1"/>
  <c r="P124" i="2" s="1"/>
  <c r="Q124" i="2" s="1"/>
  <c r="S124" i="2" s="1"/>
  <c r="T124" i="2" s="1"/>
  <c r="H123" i="2"/>
  <c r="K123" i="2" s="1"/>
  <c r="N123" i="2" s="1"/>
  <c r="P123" i="2" s="1"/>
  <c r="Q123" i="2" s="1"/>
  <c r="S123" i="2" s="1"/>
  <c r="T123" i="2" s="1"/>
  <c r="H122" i="2"/>
  <c r="K122" i="2" s="1"/>
  <c r="N122" i="2" s="1"/>
  <c r="P122" i="2" s="1"/>
  <c r="Q122" i="2" s="1"/>
  <c r="S122" i="2" s="1"/>
  <c r="T122" i="2" s="1"/>
  <c r="H121" i="2"/>
  <c r="K121" i="2" s="1"/>
  <c r="N121" i="2" s="1"/>
  <c r="P121" i="2" s="1"/>
  <c r="Q121" i="2" s="1"/>
  <c r="S121" i="2" s="1"/>
  <c r="T121" i="2" s="1"/>
  <c r="H120" i="2"/>
  <c r="K120" i="2" s="1"/>
  <c r="N120" i="2" s="1"/>
  <c r="P120" i="2" s="1"/>
  <c r="Q120" i="2" s="1"/>
  <c r="S120" i="2" s="1"/>
  <c r="T120" i="2" s="1"/>
  <c r="H118" i="2"/>
  <c r="K118" i="2" s="1"/>
  <c r="N118" i="2" s="1"/>
  <c r="P118" i="2" s="1"/>
  <c r="Q118" i="2" s="1"/>
  <c r="S118" i="2" s="1"/>
  <c r="T118" i="2" s="1"/>
  <c r="H117" i="2"/>
  <c r="K117" i="2" s="1"/>
  <c r="N117" i="2" s="1"/>
  <c r="P117" i="2" s="1"/>
  <c r="Q117" i="2" s="1"/>
  <c r="H116" i="2"/>
  <c r="K116" i="2" s="1"/>
  <c r="N116" i="2" s="1"/>
  <c r="P116" i="2" s="1"/>
  <c r="Q116" i="2" s="1"/>
  <c r="S116" i="2" s="1"/>
  <c r="T116" i="2" s="1"/>
  <c r="H115" i="2"/>
  <c r="K115" i="2" s="1"/>
  <c r="N115" i="2" s="1"/>
  <c r="P115" i="2" s="1"/>
  <c r="Q115" i="2" s="1"/>
  <c r="S115" i="2" s="1"/>
  <c r="T115" i="2" s="1"/>
  <c r="H114" i="2"/>
  <c r="K114" i="2" s="1"/>
  <c r="N114" i="2" s="1"/>
  <c r="P114" i="2" s="1"/>
  <c r="Q114" i="2" s="1"/>
  <c r="S114" i="2" s="1"/>
  <c r="T114" i="2" s="1"/>
  <c r="H113" i="2"/>
  <c r="K113" i="2" s="1"/>
  <c r="N113" i="2" s="1"/>
  <c r="P113" i="2" s="1"/>
  <c r="Q113" i="2" s="1"/>
  <c r="S113" i="2" s="1"/>
  <c r="T113" i="2" s="1"/>
  <c r="H112" i="2"/>
  <c r="H111" i="2"/>
  <c r="K111" i="2" s="1"/>
  <c r="N111" i="2" s="1"/>
  <c r="P111" i="2" s="1"/>
  <c r="Q111" i="2" s="1"/>
  <c r="S111" i="2" s="1"/>
  <c r="T111" i="2" s="1"/>
  <c r="H110" i="2"/>
  <c r="H109" i="2"/>
  <c r="H108" i="2"/>
  <c r="K108" i="2" s="1"/>
  <c r="N108" i="2" s="1"/>
  <c r="P108" i="2" s="1"/>
  <c r="Q108" i="2" s="1"/>
  <c r="S108" i="2" s="1"/>
  <c r="T108" i="2" s="1"/>
  <c r="H107" i="2"/>
  <c r="K107" i="2" s="1"/>
  <c r="N107" i="2" s="1"/>
  <c r="P107" i="2" s="1"/>
  <c r="Q107" i="2" s="1"/>
  <c r="S107" i="2" s="1"/>
  <c r="T107" i="2" s="1"/>
  <c r="H106" i="2"/>
  <c r="K106" i="2" s="1"/>
  <c r="N106" i="2" s="1"/>
  <c r="P106" i="2" s="1"/>
  <c r="Q106" i="2" s="1"/>
  <c r="S106" i="2" s="1"/>
  <c r="T106" i="2" s="1"/>
  <c r="H105" i="2"/>
  <c r="K105" i="2" s="1"/>
  <c r="N105" i="2" s="1"/>
  <c r="P105" i="2" s="1"/>
  <c r="Q105" i="2" s="1"/>
  <c r="S105" i="2" s="1"/>
  <c r="T105" i="2" s="1"/>
  <c r="H104" i="2"/>
  <c r="H103" i="2"/>
  <c r="H102" i="2"/>
  <c r="H101" i="2"/>
  <c r="H100" i="2"/>
  <c r="K100" i="2" s="1"/>
  <c r="N100" i="2" s="1"/>
  <c r="P100" i="2" s="1"/>
  <c r="Q100" i="2" s="1"/>
  <c r="S100" i="2" s="1"/>
  <c r="T100" i="2" s="1"/>
  <c r="H99" i="2"/>
  <c r="K99" i="2" s="1"/>
  <c r="N99" i="2" s="1"/>
  <c r="P99" i="2" s="1"/>
  <c r="Q99" i="2" s="1"/>
  <c r="S99" i="2" s="1"/>
  <c r="T99" i="2" s="1"/>
  <c r="H98" i="2"/>
  <c r="H97" i="2"/>
  <c r="K97" i="2" s="1"/>
  <c r="N97" i="2" s="1"/>
  <c r="P97" i="2" s="1"/>
  <c r="Q97" i="2" s="1"/>
  <c r="S97" i="2" s="1"/>
  <c r="T97" i="2" s="1"/>
  <c r="H96" i="2"/>
  <c r="K96" i="2" s="1"/>
  <c r="N96" i="2" s="1"/>
  <c r="P96" i="2" s="1"/>
  <c r="Q96" i="2" s="1"/>
  <c r="S96" i="2" s="1"/>
  <c r="T96" i="2" s="1"/>
  <c r="H95" i="2"/>
  <c r="H94" i="2"/>
  <c r="H93" i="2"/>
  <c r="H92" i="2"/>
  <c r="K92" i="2" s="1"/>
  <c r="N92" i="2" s="1"/>
  <c r="P92" i="2" s="1"/>
  <c r="Q92" i="2" s="1"/>
  <c r="S92" i="2" s="1"/>
  <c r="T92" i="2" s="1"/>
  <c r="H91" i="2"/>
  <c r="H90" i="2"/>
  <c r="K90" i="2" s="1"/>
  <c r="N90" i="2" s="1"/>
  <c r="P90" i="2" s="1"/>
  <c r="Q90" i="2" s="1"/>
  <c r="S90" i="2" s="1"/>
  <c r="T90" i="2" s="1"/>
  <c r="H89" i="2"/>
  <c r="K89" i="2" s="1"/>
  <c r="N89" i="2" s="1"/>
  <c r="P89" i="2" s="1"/>
  <c r="Q89" i="2" s="1"/>
  <c r="S89" i="2" s="1"/>
  <c r="T89" i="2" s="1"/>
  <c r="H88" i="2"/>
  <c r="K88" i="2" s="1"/>
  <c r="N88" i="2" s="1"/>
  <c r="P88" i="2" s="1"/>
  <c r="Q88" i="2" s="1"/>
  <c r="S88" i="2" s="1"/>
  <c r="T88" i="2" s="1"/>
  <c r="H87" i="2"/>
  <c r="H86" i="2"/>
  <c r="K86" i="2" s="1"/>
  <c r="N86" i="2" s="1"/>
  <c r="P86" i="2" s="1"/>
  <c r="Q86" i="2" s="1"/>
  <c r="S86" i="2" s="1"/>
  <c r="T86" i="2" s="1"/>
  <c r="H85" i="2"/>
  <c r="H84" i="2"/>
  <c r="H83" i="2"/>
  <c r="K83" i="2" s="1"/>
  <c r="N83" i="2" s="1"/>
  <c r="P83" i="2" s="1"/>
  <c r="Q83" i="2" s="1"/>
  <c r="S83" i="2" s="1"/>
  <c r="T83" i="2" s="1"/>
  <c r="H82" i="2"/>
  <c r="K82" i="2" s="1"/>
  <c r="N82" i="2" s="1"/>
  <c r="P82" i="2" s="1"/>
  <c r="Q82" i="2" s="1"/>
  <c r="S82" i="2" s="1"/>
  <c r="T82" i="2" s="1"/>
  <c r="H81" i="2"/>
  <c r="K81" i="2" s="1"/>
  <c r="N81" i="2" s="1"/>
  <c r="P81" i="2" s="1"/>
  <c r="Q81" i="2" s="1"/>
  <c r="S81" i="2" s="1"/>
  <c r="T81" i="2" s="1"/>
  <c r="H80" i="2"/>
  <c r="K80" i="2" s="1"/>
  <c r="N80" i="2" s="1"/>
  <c r="P80" i="2" s="1"/>
  <c r="Q80" i="2" s="1"/>
  <c r="H79" i="2"/>
  <c r="H78" i="2"/>
  <c r="K78" i="2" s="1"/>
  <c r="N78" i="2" s="1"/>
  <c r="P78" i="2" s="1"/>
  <c r="Q78" i="2" s="1"/>
  <c r="S78" i="2" s="1"/>
  <c r="T78" i="2" s="1"/>
  <c r="H77" i="2"/>
  <c r="H76" i="2"/>
  <c r="H75" i="2"/>
  <c r="H74" i="2"/>
  <c r="H73" i="2"/>
  <c r="H72" i="2"/>
  <c r="K72" i="2" s="1"/>
  <c r="N72" i="2" s="1"/>
  <c r="P72" i="2" s="1"/>
  <c r="Q72" i="2" s="1"/>
  <c r="S72" i="2" s="1"/>
  <c r="T72" i="2" s="1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K58" i="2" s="1"/>
  <c r="N58" i="2" s="1"/>
  <c r="P58" i="2" s="1"/>
  <c r="Q58" i="2" s="1"/>
  <c r="S58" i="2" s="1"/>
  <c r="T58" i="2" s="1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K41" i="2" s="1"/>
  <c r="N41" i="2" s="1"/>
  <c r="P41" i="2" s="1"/>
  <c r="Q41" i="2" s="1"/>
  <c r="S41" i="2" s="1"/>
  <c r="T41" i="2" s="1"/>
  <c r="H40" i="2"/>
  <c r="H39" i="2"/>
  <c r="H38" i="2"/>
  <c r="H37" i="2"/>
  <c r="H36" i="2"/>
  <c r="H35" i="2"/>
  <c r="H34" i="2"/>
  <c r="H33" i="2"/>
  <c r="H32" i="2"/>
  <c r="K32" i="2" s="1"/>
  <c r="N32" i="2" s="1"/>
  <c r="P32" i="2" s="1"/>
  <c r="Q32" i="2" s="1"/>
  <c r="S32" i="2" s="1"/>
  <c r="T32" i="2" s="1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K19" i="2" s="1"/>
  <c r="N19" i="2" s="1"/>
  <c r="P19" i="2" s="1"/>
  <c r="Q19" i="2" s="1"/>
  <c r="S19" i="2" s="1"/>
  <c r="T19" i="2" s="1"/>
  <c r="H18" i="2"/>
  <c r="H17" i="2"/>
  <c r="K17" i="2" s="1"/>
  <c r="N17" i="2" s="1"/>
  <c r="P17" i="2" s="1"/>
  <c r="Q17" i="2" s="1"/>
  <c r="S17" i="2" s="1"/>
  <c r="T17" i="2" s="1"/>
  <c r="H16" i="2"/>
  <c r="H15" i="2"/>
  <c r="H14" i="2"/>
  <c r="H13" i="2"/>
  <c r="H12" i="2"/>
  <c r="K12" i="2" s="1"/>
  <c r="N12" i="2" s="1"/>
  <c r="P12" i="2" s="1"/>
  <c r="Q12" i="2" s="1"/>
  <c r="S12" i="2" s="1"/>
  <c r="T12" i="2" s="1"/>
  <c r="H11" i="2"/>
  <c r="H10" i="2"/>
  <c r="H9" i="2"/>
  <c r="H8" i="2"/>
  <c r="H7" i="2"/>
  <c r="K7" i="2" s="1"/>
  <c r="N7" i="2" s="1"/>
  <c r="P7" i="2" s="1"/>
  <c r="Q7" i="2" s="1"/>
  <c r="H6" i="2"/>
  <c r="K6" i="2" s="1"/>
  <c r="N6" i="2" s="1"/>
  <c r="P6" i="2" s="1"/>
  <c r="Q6" i="2" s="1"/>
  <c r="S6" i="2" s="1"/>
  <c r="T6" i="2" s="1"/>
  <c r="H5" i="2"/>
  <c r="H4" i="2"/>
  <c r="K4" i="2" s="1"/>
  <c r="N4" i="2" s="1"/>
  <c r="P4" i="2" s="1"/>
  <c r="Q4" i="2" s="1"/>
  <c r="S4" i="2" s="1"/>
  <c r="T4" i="2" s="1"/>
  <c r="H3" i="2"/>
  <c r="K3" i="2" s="1"/>
  <c r="N3" i="2" s="1"/>
  <c r="P3" i="2" s="1"/>
  <c r="Q3" i="2" s="1"/>
  <c r="S3" i="2" s="1"/>
  <c r="T3" i="2" s="1"/>
  <c r="H2" i="2"/>
  <c r="V2" i="2" s="1"/>
  <c r="Y2" i="2" s="1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W990" i="2"/>
  <c r="W989" i="2"/>
  <c r="W988" i="2"/>
  <c r="W987" i="2"/>
  <c r="W986" i="2"/>
  <c r="W985" i="2"/>
  <c r="W984" i="2"/>
  <c r="W983" i="2"/>
  <c r="W982" i="2"/>
  <c r="W981" i="2"/>
  <c r="W980" i="2"/>
  <c r="W979" i="2"/>
  <c r="W978" i="2"/>
  <c r="W977" i="2"/>
  <c r="W976" i="2"/>
  <c r="W975" i="2"/>
  <c r="W974" i="2"/>
  <c r="W973" i="2"/>
  <c r="W972" i="2"/>
  <c r="W971" i="2"/>
  <c r="W970" i="2"/>
  <c r="W969" i="2"/>
  <c r="W968" i="2"/>
  <c r="W967" i="2"/>
  <c r="W966" i="2"/>
  <c r="W965" i="2"/>
  <c r="W964" i="2"/>
  <c r="W963" i="2"/>
  <c r="W962" i="2"/>
  <c r="W961" i="2"/>
  <c r="W960" i="2"/>
  <c r="W959" i="2"/>
  <c r="W958" i="2"/>
  <c r="W957" i="2"/>
  <c r="W956" i="2"/>
  <c r="W955" i="2"/>
  <c r="W954" i="2"/>
  <c r="W953" i="2"/>
  <c r="W952" i="2"/>
  <c r="W951" i="2"/>
  <c r="W950" i="2"/>
  <c r="W949" i="2"/>
  <c r="W948" i="2"/>
  <c r="W947" i="2"/>
  <c r="W946" i="2"/>
  <c r="W945" i="2"/>
  <c r="W944" i="2"/>
  <c r="W943" i="2"/>
  <c r="W942" i="2"/>
  <c r="W941" i="2"/>
  <c r="W940" i="2"/>
  <c r="W939" i="2"/>
  <c r="W938" i="2"/>
  <c r="W937" i="2"/>
  <c r="W936" i="2"/>
  <c r="W935" i="2"/>
  <c r="W934" i="2"/>
  <c r="W933" i="2"/>
  <c r="W932" i="2"/>
  <c r="W931" i="2"/>
  <c r="W930" i="2"/>
  <c r="W929" i="2"/>
  <c r="W928" i="2"/>
  <c r="W927" i="2"/>
  <c r="W926" i="2"/>
  <c r="W925" i="2"/>
  <c r="W924" i="2"/>
  <c r="W923" i="2"/>
  <c r="W922" i="2"/>
  <c r="W921" i="2"/>
  <c r="W920" i="2"/>
  <c r="W919" i="2"/>
  <c r="W918" i="2"/>
  <c r="W917" i="2"/>
  <c r="W916" i="2"/>
  <c r="W915" i="2"/>
  <c r="W914" i="2"/>
  <c r="W913" i="2"/>
  <c r="W912" i="2"/>
  <c r="W911" i="2"/>
  <c r="W910" i="2"/>
  <c r="W909" i="2"/>
  <c r="W908" i="2"/>
  <c r="W907" i="2"/>
  <c r="W906" i="2"/>
  <c r="W905" i="2"/>
  <c r="W904" i="2"/>
  <c r="W903" i="2"/>
  <c r="W902" i="2"/>
  <c r="W901" i="2"/>
  <c r="W900" i="2"/>
  <c r="W899" i="2"/>
  <c r="W898" i="2"/>
  <c r="W897" i="2"/>
  <c r="W896" i="2"/>
  <c r="W895" i="2"/>
  <c r="W894" i="2"/>
  <c r="W893" i="2"/>
  <c r="W892" i="2"/>
  <c r="W891" i="2"/>
  <c r="W890" i="2"/>
  <c r="W889" i="2"/>
  <c r="W888" i="2"/>
  <c r="W887" i="2"/>
  <c r="W886" i="2"/>
  <c r="W885" i="2"/>
  <c r="W884" i="2"/>
  <c r="W883" i="2"/>
  <c r="W882" i="2"/>
  <c r="W881" i="2"/>
  <c r="W880" i="2"/>
  <c r="W879" i="2"/>
  <c r="W878" i="2"/>
  <c r="W877" i="2"/>
  <c r="W876" i="2"/>
  <c r="W875" i="2"/>
  <c r="W874" i="2"/>
  <c r="W873" i="2"/>
  <c r="W872" i="2"/>
  <c r="W871" i="2"/>
  <c r="W870" i="2"/>
  <c r="W869" i="2"/>
  <c r="W868" i="2"/>
  <c r="W867" i="2"/>
  <c r="W866" i="2"/>
  <c r="W865" i="2"/>
  <c r="W864" i="2"/>
  <c r="W863" i="2"/>
  <c r="W862" i="2"/>
  <c r="W861" i="2"/>
  <c r="W860" i="2"/>
  <c r="W859" i="2"/>
  <c r="W858" i="2"/>
  <c r="W857" i="2"/>
  <c r="W856" i="2"/>
  <c r="W855" i="2"/>
  <c r="W854" i="2"/>
  <c r="W853" i="2"/>
  <c r="W852" i="2"/>
  <c r="W851" i="2"/>
  <c r="W850" i="2"/>
  <c r="W849" i="2"/>
  <c r="W848" i="2"/>
  <c r="W847" i="2"/>
  <c r="W846" i="2"/>
  <c r="W845" i="2"/>
  <c r="W844" i="2"/>
  <c r="W843" i="2"/>
  <c r="W842" i="2"/>
  <c r="W841" i="2"/>
  <c r="W840" i="2"/>
  <c r="W839" i="2"/>
  <c r="W838" i="2"/>
  <c r="W837" i="2"/>
  <c r="W836" i="2"/>
  <c r="W835" i="2"/>
  <c r="W834" i="2"/>
  <c r="W833" i="2"/>
  <c r="W832" i="2"/>
  <c r="W831" i="2"/>
  <c r="W830" i="2"/>
  <c r="W829" i="2"/>
  <c r="W828" i="2"/>
  <c r="W827" i="2"/>
  <c r="W826" i="2"/>
  <c r="W825" i="2"/>
  <c r="W824" i="2"/>
  <c r="W823" i="2"/>
  <c r="W822" i="2"/>
  <c r="W821" i="2"/>
  <c r="W820" i="2"/>
  <c r="W819" i="2"/>
  <c r="W818" i="2"/>
  <c r="W817" i="2"/>
  <c r="W816" i="2"/>
  <c r="W815" i="2"/>
  <c r="W814" i="2"/>
  <c r="W813" i="2"/>
  <c r="W812" i="2"/>
  <c r="W811" i="2"/>
  <c r="W810" i="2"/>
  <c r="W809" i="2"/>
  <c r="W808" i="2"/>
  <c r="W807" i="2"/>
  <c r="W806" i="2"/>
  <c r="W805" i="2"/>
  <c r="W804" i="2"/>
  <c r="W803" i="2"/>
  <c r="W802" i="2"/>
  <c r="W801" i="2"/>
  <c r="W800" i="2"/>
  <c r="W799" i="2"/>
  <c r="W798" i="2"/>
  <c r="W797" i="2"/>
  <c r="W796" i="2"/>
  <c r="W795" i="2"/>
  <c r="W794" i="2"/>
  <c r="W793" i="2"/>
  <c r="W792" i="2"/>
  <c r="W791" i="2"/>
  <c r="W790" i="2"/>
  <c r="W789" i="2"/>
  <c r="W788" i="2"/>
  <c r="W787" i="2"/>
  <c r="W786" i="2"/>
  <c r="W785" i="2"/>
  <c r="W784" i="2"/>
  <c r="W783" i="2"/>
  <c r="W782" i="2"/>
  <c r="W781" i="2"/>
  <c r="W780" i="2"/>
  <c r="W779" i="2"/>
  <c r="W778" i="2"/>
  <c r="W777" i="2"/>
  <c r="W776" i="2"/>
  <c r="W775" i="2"/>
  <c r="W774" i="2"/>
  <c r="W773" i="2"/>
  <c r="W772" i="2"/>
  <c r="W771" i="2"/>
  <c r="W770" i="2"/>
  <c r="W769" i="2"/>
  <c r="W768" i="2"/>
  <c r="W767" i="2"/>
  <c r="W766" i="2"/>
  <c r="W765" i="2"/>
  <c r="W764" i="2"/>
  <c r="W763" i="2"/>
  <c r="W762" i="2"/>
  <c r="W761" i="2"/>
  <c r="W760" i="2"/>
  <c r="W759" i="2"/>
  <c r="W758" i="2"/>
  <c r="W757" i="2"/>
  <c r="W756" i="2"/>
  <c r="W755" i="2"/>
  <c r="W754" i="2"/>
  <c r="W753" i="2"/>
  <c r="W752" i="2"/>
  <c r="W751" i="2"/>
  <c r="W750" i="2"/>
  <c r="W749" i="2"/>
  <c r="W748" i="2"/>
  <c r="W747" i="2"/>
  <c r="W746" i="2"/>
  <c r="W745" i="2"/>
  <c r="W744" i="2"/>
  <c r="W743" i="2"/>
  <c r="W742" i="2"/>
  <c r="W741" i="2"/>
  <c r="W740" i="2"/>
  <c r="W739" i="2"/>
  <c r="W738" i="2"/>
  <c r="W737" i="2"/>
  <c r="W736" i="2"/>
  <c r="W735" i="2"/>
  <c r="W734" i="2"/>
  <c r="W733" i="2"/>
  <c r="W732" i="2"/>
  <c r="W731" i="2"/>
  <c r="W730" i="2"/>
  <c r="W729" i="2"/>
  <c r="W728" i="2"/>
  <c r="W727" i="2"/>
  <c r="W726" i="2"/>
  <c r="W725" i="2"/>
  <c r="W724" i="2"/>
  <c r="W723" i="2"/>
  <c r="W722" i="2"/>
  <c r="W721" i="2"/>
  <c r="W720" i="2"/>
  <c r="W719" i="2"/>
  <c r="W718" i="2"/>
  <c r="W717" i="2"/>
  <c r="W716" i="2"/>
  <c r="W715" i="2"/>
  <c r="W714" i="2"/>
  <c r="W713" i="2"/>
  <c r="W712" i="2"/>
  <c r="W711" i="2"/>
  <c r="W710" i="2"/>
  <c r="W709" i="2"/>
  <c r="W708" i="2"/>
  <c r="W707" i="2"/>
  <c r="W706" i="2"/>
  <c r="W705" i="2"/>
  <c r="W704" i="2"/>
  <c r="W703" i="2"/>
  <c r="W702" i="2"/>
  <c r="W701" i="2"/>
  <c r="W700" i="2"/>
  <c r="W699" i="2"/>
  <c r="W698" i="2"/>
  <c r="W697" i="2"/>
  <c r="W696" i="2"/>
  <c r="W695" i="2"/>
  <c r="W694" i="2"/>
  <c r="W693" i="2"/>
  <c r="W692" i="2"/>
  <c r="W691" i="2"/>
  <c r="W690" i="2"/>
  <c r="W689" i="2"/>
  <c r="W688" i="2"/>
  <c r="W687" i="2"/>
  <c r="W686" i="2"/>
  <c r="W685" i="2"/>
  <c r="W684" i="2"/>
  <c r="W683" i="2"/>
  <c r="W682" i="2"/>
  <c r="W681" i="2"/>
  <c r="W680" i="2"/>
  <c r="W679" i="2"/>
  <c r="W678" i="2"/>
  <c r="W677" i="2"/>
  <c r="W676" i="2"/>
  <c r="W675" i="2"/>
  <c r="W674" i="2"/>
  <c r="W673" i="2"/>
  <c r="W672" i="2"/>
  <c r="W671" i="2"/>
  <c r="W670" i="2"/>
  <c r="W669" i="2"/>
  <c r="W668" i="2"/>
  <c r="W667" i="2"/>
  <c r="W666" i="2"/>
  <c r="W665" i="2"/>
  <c r="W664" i="2"/>
  <c r="W663" i="2"/>
  <c r="W662" i="2"/>
  <c r="W661" i="2"/>
  <c r="W660" i="2"/>
  <c r="W659" i="2"/>
  <c r="W658" i="2"/>
  <c r="W657" i="2"/>
  <c r="W656" i="2"/>
  <c r="W655" i="2"/>
  <c r="W654" i="2"/>
  <c r="W653" i="2"/>
  <c r="W652" i="2"/>
  <c r="W651" i="2"/>
  <c r="W650" i="2"/>
  <c r="W649" i="2"/>
  <c r="W648" i="2"/>
  <c r="W647" i="2"/>
  <c r="W646" i="2"/>
  <c r="W645" i="2"/>
  <c r="W644" i="2"/>
  <c r="W643" i="2"/>
  <c r="W642" i="2"/>
  <c r="W641" i="2"/>
  <c r="W640" i="2"/>
  <c r="W639" i="2"/>
  <c r="W638" i="2"/>
  <c r="W637" i="2"/>
  <c r="W636" i="2"/>
  <c r="W635" i="2"/>
  <c r="W634" i="2"/>
  <c r="W633" i="2"/>
  <c r="W632" i="2"/>
  <c r="W631" i="2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5" i="2"/>
  <c r="P195" i="2" s="1"/>
  <c r="Q195" i="2" s="1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6" i="2"/>
  <c r="N196" i="2" s="1"/>
  <c r="P196" i="2" s="1"/>
  <c r="Q196" i="2" s="1"/>
  <c r="K195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K197" i="2" s="1"/>
  <c r="N197" i="2" s="1"/>
  <c r="P197" i="2" s="1"/>
  <c r="Q197" i="2" s="1"/>
  <c r="H196" i="2"/>
  <c r="H195" i="2"/>
  <c r="H194" i="2"/>
  <c r="K194" i="2" s="1"/>
  <c r="N194" i="2" s="1"/>
  <c r="P194" i="2" s="1"/>
  <c r="Q194" i="2" s="1"/>
  <c r="H193" i="2"/>
  <c r="K193" i="2" s="1"/>
  <c r="N193" i="2" s="1"/>
  <c r="P193" i="2" s="1"/>
  <c r="Q193" i="2" s="1"/>
  <c r="H192" i="2"/>
  <c r="K192" i="2" s="1"/>
  <c r="N192" i="2" s="1"/>
  <c r="P192" i="2" s="1"/>
  <c r="Q192" i="2" s="1"/>
  <c r="H191" i="2"/>
  <c r="K191" i="2" s="1"/>
  <c r="N191" i="2" s="1"/>
  <c r="P191" i="2" s="1"/>
  <c r="Q191" i="2" s="1"/>
  <c r="H190" i="2"/>
  <c r="K190" i="2" s="1"/>
  <c r="N190" i="2" s="1"/>
  <c r="P190" i="2" s="1"/>
  <c r="Q190" i="2" s="1"/>
  <c r="H189" i="2"/>
  <c r="K189" i="2" s="1"/>
  <c r="N189" i="2" s="1"/>
  <c r="P189" i="2" s="1"/>
  <c r="Q189" i="2" s="1"/>
  <c r="S189" i="2" s="1"/>
  <c r="T189" i="2" s="1"/>
  <c r="H188" i="2"/>
  <c r="K188" i="2" s="1"/>
  <c r="N188" i="2" s="1"/>
  <c r="P188" i="2" s="1"/>
  <c r="Q188" i="2" s="1"/>
  <c r="S188" i="2" s="1"/>
  <c r="T188" i="2" s="1"/>
  <c r="H187" i="2"/>
  <c r="K187" i="2" s="1"/>
  <c r="N187" i="2" s="1"/>
  <c r="P187" i="2" s="1"/>
  <c r="Q187" i="2" s="1"/>
  <c r="S187" i="2" s="1"/>
  <c r="T187" i="2" s="1"/>
  <c r="H186" i="2"/>
  <c r="K186" i="2" s="1"/>
  <c r="N186" i="2" s="1"/>
  <c r="P186" i="2" s="1"/>
  <c r="Q186" i="2" s="1"/>
  <c r="H185" i="2"/>
  <c r="K185" i="2" s="1"/>
  <c r="N185" i="2" s="1"/>
  <c r="P185" i="2" s="1"/>
  <c r="Q185" i="2" s="1"/>
  <c r="H184" i="2"/>
  <c r="K184" i="2" s="1"/>
  <c r="N184" i="2" s="1"/>
  <c r="P184" i="2" s="1"/>
  <c r="Q184" i="2" s="1"/>
  <c r="H183" i="2"/>
  <c r="K183" i="2" s="1"/>
  <c r="N183" i="2" s="1"/>
  <c r="P183" i="2" s="1"/>
  <c r="Q183" i="2" s="1"/>
  <c r="H182" i="2"/>
  <c r="K182" i="2" s="1"/>
  <c r="N182" i="2" s="1"/>
  <c r="P182" i="2" s="1"/>
  <c r="Q182" i="2" s="1"/>
  <c r="H181" i="2"/>
  <c r="K181" i="2" s="1"/>
  <c r="N181" i="2" s="1"/>
  <c r="P181" i="2" s="1"/>
  <c r="Q181" i="2" s="1"/>
  <c r="H180" i="2"/>
  <c r="K180" i="2" s="1"/>
  <c r="N180" i="2" s="1"/>
  <c r="P180" i="2" s="1"/>
  <c r="Q180" i="2" s="1"/>
  <c r="H179" i="2"/>
  <c r="K179" i="2" s="1"/>
  <c r="N179" i="2" s="1"/>
  <c r="P179" i="2" s="1"/>
  <c r="Q179" i="2" s="1"/>
  <c r="H178" i="2"/>
  <c r="K178" i="2" s="1"/>
  <c r="N178" i="2" s="1"/>
  <c r="P178" i="2" s="1"/>
  <c r="Q178" i="2" s="1"/>
  <c r="H177" i="2"/>
  <c r="K177" i="2" s="1"/>
  <c r="N177" i="2" s="1"/>
  <c r="P177" i="2" s="1"/>
  <c r="Q177" i="2" s="1"/>
  <c r="H176" i="2"/>
  <c r="K176" i="2" s="1"/>
  <c r="N176" i="2" s="1"/>
  <c r="P176" i="2" s="1"/>
  <c r="Q176" i="2" s="1"/>
  <c r="H175" i="2"/>
  <c r="K175" i="2" s="1"/>
  <c r="N175" i="2" s="1"/>
  <c r="P175" i="2" s="1"/>
  <c r="Q175" i="2" s="1"/>
  <c r="H174" i="2"/>
  <c r="K174" i="2" s="1"/>
  <c r="N174" i="2" s="1"/>
  <c r="P174" i="2" s="1"/>
  <c r="Q174" i="2" s="1"/>
  <c r="H173" i="2"/>
  <c r="K173" i="2" s="1"/>
  <c r="N173" i="2" s="1"/>
  <c r="P173" i="2" s="1"/>
  <c r="Q173" i="2" s="1"/>
  <c r="S173" i="2" s="1"/>
  <c r="T173" i="2" s="1"/>
  <c r="H172" i="2"/>
  <c r="K172" i="2" s="1"/>
  <c r="N172" i="2" s="1"/>
  <c r="P172" i="2" s="1"/>
  <c r="Q172" i="2" s="1"/>
  <c r="S172" i="2" s="1"/>
  <c r="T172" i="2" s="1"/>
  <c r="H171" i="2"/>
  <c r="K171" i="2" s="1"/>
  <c r="N171" i="2" s="1"/>
  <c r="P171" i="2" s="1"/>
  <c r="Q171" i="2" s="1"/>
  <c r="G161" i="2"/>
  <c r="G119" i="2"/>
  <c r="I109" i="2"/>
  <c r="I87" i="2"/>
  <c r="T71" i="2" l="1"/>
  <c r="V195" i="2"/>
  <c r="Y195" i="2" s="1"/>
  <c r="V188" i="2"/>
  <c r="Y188" i="2" s="1"/>
  <c r="V197" i="2"/>
  <c r="Y197" i="2" s="1"/>
  <c r="S197" i="2"/>
  <c r="W197" i="2"/>
  <c r="V196" i="2"/>
  <c r="Y196" i="2" s="1"/>
  <c r="W196" i="2"/>
  <c r="S196" i="2"/>
  <c r="W195" i="2"/>
  <c r="S195" i="2"/>
  <c r="X195" i="2" s="1"/>
  <c r="D16" i="10"/>
  <c r="D18" i="10"/>
  <c r="D12" i="10"/>
  <c r="D14" i="10"/>
  <c r="D20" i="10"/>
  <c r="D6" i="10"/>
  <c r="D8" i="10"/>
  <c r="D10" i="10"/>
  <c r="T61" i="2"/>
  <c r="T62" i="2"/>
  <c r="T23" i="2"/>
  <c r="T40" i="2"/>
  <c r="T57" i="2"/>
  <c r="T65" i="2"/>
  <c r="T43" i="2"/>
  <c r="T9" i="2"/>
  <c r="T30" i="2"/>
  <c r="T10" i="2"/>
  <c r="T68" i="2"/>
  <c r="T25" i="2"/>
  <c r="T26" i="2"/>
  <c r="T51" i="2"/>
  <c r="T70" i="2"/>
  <c r="T38" i="2"/>
  <c r="T42" i="2"/>
  <c r="T60" i="2"/>
  <c r="T27" i="2"/>
  <c r="T63" i="2"/>
  <c r="T28" i="2"/>
  <c r="T46" i="2"/>
  <c r="T64" i="2"/>
  <c r="T11" i="2"/>
  <c r="T67" i="2"/>
  <c r="T49" i="2"/>
  <c r="T15" i="2"/>
  <c r="T35" i="2"/>
  <c r="T52" i="2"/>
  <c r="T20" i="2"/>
  <c r="T37" i="2"/>
  <c r="T54" i="2"/>
  <c r="T47" i="2"/>
  <c r="T18" i="2"/>
  <c r="T31" i="2"/>
  <c r="T66" i="2"/>
  <c r="T13" i="2"/>
  <c r="T33" i="2"/>
  <c r="T50" i="2"/>
  <c r="T14" i="2"/>
  <c r="T34" i="2"/>
  <c r="T36" i="2"/>
  <c r="T21" i="2"/>
  <c r="T55" i="2"/>
  <c r="T8" i="2"/>
  <c r="T24" i="2"/>
  <c r="T104" i="2"/>
  <c r="T39" i="2"/>
  <c r="T56" i="2"/>
  <c r="S73" i="2"/>
  <c r="T73" i="2" s="1"/>
  <c r="S74" i="2"/>
  <c r="T74" i="2" s="1"/>
  <c r="S102" i="2"/>
  <c r="T102" i="2" s="1"/>
  <c r="S77" i="2"/>
  <c r="T77" i="2" s="1"/>
  <c r="S76" i="2"/>
  <c r="T76" i="2" s="1"/>
  <c r="S75" i="2"/>
  <c r="T75" i="2" s="1"/>
  <c r="S84" i="2"/>
  <c r="T84" i="2" s="1"/>
  <c r="S131" i="2"/>
  <c r="T131" i="2" s="1"/>
  <c r="S194" i="2"/>
  <c r="T194" i="2" s="1"/>
  <c r="S193" i="2"/>
  <c r="T193" i="2" s="1"/>
  <c r="S192" i="2"/>
  <c r="T192" i="2" s="1"/>
  <c r="S191" i="2"/>
  <c r="T191" i="2" s="1"/>
  <c r="S190" i="2"/>
  <c r="T190" i="2" s="1"/>
  <c r="S186" i="2"/>
  <c r="T186" i="2" s="1"/>
  <c r="S185" i="2"/>
  <c r="T185" i="2" s="1"/>
  <c r="S184" i="2"/>
  <c r="T184" i="2" s="1"/>
  <c r="S183" i="2"/>
  <c r="T183" i="2" s="1"/>
  <c r="S182" i="2"/>
  <c r="T182" i="2" s="1"/>
  <c r="S181" i="2"/>
  <c r="T181" i="2" s="1"/>
  <c r="S180" i="2"/>
  <c r="T180" i="2" s="1"/>
  <c r="S179" i="2"/>
  <c r="T179" i="2" s="1"/>
  <c r="S178" i="2"/>
  <c r="T178" i="2" s="1"/>
  <c r="S177" i="2"/>
  <c r="T177" i="2" s="1"/>
  <c r="S176" i="2"/>
  <c r="T176" i="2" s="1"/>
  <c r="S175" i="2"/>
  <c r="T175" i="2" s="1"/>
  <c r="S174" i="2"/>
  <c r="T174" i="2" s="1"/>
  <c r="K109" i="2"/>
  <c r="N109" i="2" s="1"/>
  <c r="P109" i="2" s="1"/>
  <c r="Q109" i="2" s="1"/>
  <c r="S109" i="2" s="1"/>
  <c r="T109" i="2" s="1"/>
  <c r="S91" i="2"/>
  <c r="T91" i="2" s="1"/>
  <c r="S98" i="2"/>
  <c r="T98" i="2" s="1"/>
  <c r="S128" i="2"/>
  <c r="T128" i="2" s="1"/>
  <c r="S133" i="2"/>
  <c r="T133" i="2" s="1"/>
  <c r="S69" i="2"/>
  <c r="T69" i="2" s="1"/>
  <c r="S48" i="2"/>
  <c r="T48" i="2" s="1"/>
  <c r="S139" i="2"/>
  <c r="T139" i="2" s="1"/>
  <c r="S29" i="2"/>
  <c r="T29" i="2" s="1"/>
  <c r="S22" i="2"/>
  <c r="T22" i="2" s="1"/>
  <c r="S103" i="2"/>
  <c r="T103" i="2" s="1"/>
  <c r="K110" i="2"/>
  <c r="N110" i="2" s="1"/>
  <c r="P110" i="2" s="1"/>
  <c r="Q110" i="2" s="1"/>
  <c r="S110" i="2" s="1"/>
  <c r="T110" i="2" s="1"/>
  <c r="K127" i="2"/>
  <c r="N127" i="2" s="1"/>
  <c r="P127" i="2" s="1"/>
  <c r="Q127" i="2" s="1"/>
  <c r="S127" i="2" s="1"/>
  <c r="T127" i="2" s="1"/>
  <c r="K143" i="2"/>
  <c r="N143" i="2" s="1"/>
  <c r="P143" i="2" s="1"/>
  <c r="Q143" i="2" s="1"/>
  <c r="S143" i="2" s="1"/>
  <c r="T143" i="2" s="1"/>
  <c r="K159" i="2"/>
  <c r="N159" i="2" s="1"/>
  <c r="P159" i="2" s="1"/>
  <c r="Q159" i="2" s="1"/>
  <c r="S159" i="2" s="1"/>
  <c r="T159" i="2" s="1"/>
  <c r="S53" i="2"/>
  <c r="T53" i="2" s="1"/>
  <c r="H8" i="6" a="1"/>
  <c r="H8" i="6" s="1"/>
  <c r="H119" i="2"/>
  <c r="K79" i="2"/>
  <c r="N79" i="2" s="1"/>
  <c r="P79" i="2" s="1"/>
  <c r="Q79" i="2" s="1"/>
  <c r="S79" i="2" s="1"/>
  <c r="T79" i="2" s="1"/>
  <c r="K95" i="2"/>
  <c r="N95" i="2" s="1"/>
  <c r="P95" i="2" s="1"/>
  <c r="Q95" i="2" s="1"/>
  <c r="S95" i="2" s="1"/>
  <c r="K160" i="2"/>
  <c r="N160" i="2" s="1"/>
  <c r="P160" i="2" s="1"/>
  <c r="Q160" i="2" s="1"/>
  <c r="K161" i="2"/>
  <c r="H161" i="2"/>
  <c r="S80" i="2"/>
  <c r="T80" i="2" s="1"/>
  <c r="S117" i="2"/>
  <c r="T117" i="2" s="1"/>
  <c r="S7" i="2"/>
  <c r="T7" i="2" s="1"/>
  <c r="S45" i="2"/>
  <c r="T45" i="2" s="1"/>
  <c r="K5" i="2"/>
  <c r="N5" i="2" s="1"/>
  <c r="P5" i="2" s="1"/>
  <c r="Q5" i="2" s="1"/>
  <c r="K85" i="2"/>
  <c r="N85" i="2" s="1"/>
  <c r="P85" i="2" s="1"/>
  <c r="Q85" i="2" s="1"/>
  <c r="K101" i="2"/>
  <c r="N101" i="2" s="1"/>
  <c r="P101" i="2" s="1"/>
  <c r="Q101" i="2" s="1"/>
  <c r="K94" i="2"/>
  <c r="N94" i="2" s="1"/>
  <c r="P94" i="2" s="1"/>
  <c r="Q94" i="2" s="1"/>
  <c r="S94" i="2" s="1"/>
  <c r="T94" i="2" s="1"/>
  <c r="S44" i="2"/>
  <c r="T44" i="2" s="1"/>
  <c r="K125" i="2"/>
  <c r="N125" i="2" s="1"/>
  <c r="P125" i="2" s="1"/>
  <c r="Q125" i="2" s="1"/>
  <c r="K141" i="2"/>
  <c r="N141" i="2" s="1"/>
  <c r="P141" i="2" s="1"/>
  <c r="Q141" i="2" s="1"/>
  <c r="S141" i="2" s="1"/>
  <c r="T141" i="2" s="1"/>
  <c r="K157" i="2"/>
  <c r="N157" i="2" s="1"/>
  <c r="P157" i="2" s="1"/>
  <c r="Q157" i="2" s="1"/>
  <c r="S157" i="2" s="1"/>
  <c r="T157" i="2" s="1"/>
  <c r="J8" i="6" a="1"/>
  <c r="J8" i="6" s="1"/>
  <c r="K87" i="2"/>
  <c r="N87" i="2" s="1"/>
  <c r="P87" i="2" s="1"/>
  <c r="Q87" i="2" s="1"/>
  <c r="S87" i="2" s="1"/>
  <c r="T87" i="2" s="1"/>
  <c r="K93" i="2"/>
  <c r="N93" i="2" s="1"/>
  <c r="P93" i="2" s="1"/>
  <c r="Q93" i="2" s="1"/>
  <c r="S93" i="2" s="1"/>
  <c r="T93" i="2" s="1"/>
  <c r="K126" i="2"/>
  <c r="N126" i="2" s="1"/>
  <c r="P126" i="2" s="1"/>
  <c r="Q126" i="2" s="1"/>
  <c r="S126" i="2" s="1"/>
  <c r="T126" i="2" s="1"/>
  <c r="K146" i="2"/>
  <c r="N146" i="2" s="1"/>
  <c r="P146" i="2" s="1"/>
  <c r="Q146" i="2" s="1"/>
  <c r="S162" i="2"/>
  <c r="T162" i="2" s="1"/>
  <c r="N6" i="6" s="1"/>
  <c r="K2" i="2"/>
  <c r="N2" i="2" s="1"/>
  <c r="P2" i="2" s="1"/>
  <c r="Q2" i="2" s="1"/>
  <c r="S2" i="2" s="1"/>
  <c r="T2" i="2" s="1"/>
  <c r="K147" i="2"/>
  <c r="N147" i="2" s="1"/>
  <c r="P147" i="2" s="1"/>
  <c r="Q147" i="2" s="1"/>
  <c r="S147" i="2" s="1"/>
  <c r="T147" i="2" s="1"/>
  <c r="K16" i="2"/>
  <c r="N16" i="2" s="1"/>
  <c r="P16" i="2" s="1"/>
  <c r="Q16" i="2" s="1"/>
  <c r="K112" i="2"/>
  <c r="N112" i="2" s="1"/>
  <c r="P112" i="2" s="1"/>
  <c r="Q112" i="2" s="1"/>
  <c r="K149" i="2"/>
  <c r="N149" i="2" s="1"/>
  <c r="P149" i="2" s="1"/>
  <c r="Q149" i="2" s="1"/>
  <c r="K59" i="2"/>
  <c r="N59" i="2" s="1"/>
  <c r="P59" i="2" s="1"/>
  <c r="Q59" i="2" s="1"/>
  <c r="K169" i="2"/>
  <c r="N169" i="2" s="1"/>
  <c r="P169" i="2" s="1"/>
  <c r="Q169" i="2" s="1"/>
  <c r="S169" i="2" s="1"/>
  <c r="T169" i="2" s="1"/>
  <c r="S171" i="2"/>
  <c r="T171" i="2" s="1"/>
  <c r="X197" i="2" l="1"/>
  <c r="T197" i="2"/>
  <c r="X196" i="2"/>
  <c r="T196" i="2"/>
  <c r="T195" i="2"/>
  <c r="I8" i="6" a="1"/>
  <c r="I8" i="6" s="1"/>
  <c r="T95" i="2"/>
  <c r="S5" i="2"/>
  <c r="S161" i="2"/>
  <c r="T161" i="2" s="1"/>
  <c r="S112" i="2"/>
  <c r="S101" i="2"/>
  <c r="S149" i="2"/>
  <c r="K119" i="2"/>
  <c r="N119" i="2" s="1"/>
  <c r="P119" i="2" s="1"/>
  <c r="Q119" i="2" s="1"/>
  <c r="L8" i="6" s="1" a="1"/>
  <c r="L8" i="6" s="1"/>
  <c r="S16" i="2"/>
  <c r="S85" i="2"/>
  <c r="S146" i="2"/>
  <c r="S160" i="2"/>
  <c r="S59" i="2"/>
  <c r="S125" i="2"/>
  <c r="T146" i="2" l="1"/>
  <c r="T149" i="2"/>
  <c r="T5" i="2"/>
  <c r="T160" i="2"/>
  <c r="T125" i="2"/>
  <c r="T101" i="2"/>
  <c r="T59" i="2"/>
  <c r="T85" i="2"/>
  <c r="T112" i="2"/>
  <c r="T16" i="2"/>
  <c r="S119" i="2"/>
  <c r="T119" i="2" s="1"/>
  <c r="K8" i="6" a="1"/>
  <c r="K8" i="6" s="1"/>
  <c r="N8" i="6" l="1" a="1"/>
  <c r="N8" i="6" s="1"/>
  <c r="M8" i="6" a="1"/>
  <c r="M8" i="6" s="1"/>
  <c r="D26" i="7"/>
  <c r="D20" i="7"/>
  <c r="D6" i="6"/>
  <c r="D12" i="7"/>
  <c r="D6" i="7"/>
  <c r="J6" i="6"/>
  <c r="D14" i="7"/>
  <c r="H6" i="6"/>
  <c r="C6" i="6"/>
  <c r="D18" i="7"/>
  <c r="B8" i="6" a="1"/>
  <c r="B8" i="6" s="1"/>
  <c r="I6" i="6"/>
  <c r="D8" i="7"/>
  <c r="B6" i="6"/>
  <c r="D24" i="7"/>
  <c r="D16" i="7"/>
  <c r="M6" i="6"/>
  <c r="L6" i="6"/>
  <c r="F6" i="6"/>
  <c r="G6" i="6"/>
  <c r="D10" i="7"/>
  <c r="K6" i="6"/>
  <c r="D22" i="7"/>
  <c r="E6" i="6"/>
  <c r="W2" i="2"/>
  <c r="X2" i="2"/>
  <c r="W3" i="2"/>
  <c r="X12" i="2"/>
  <c r="R6" i="6" s="1"/>
  <c r="W20" i="2"/>
  <c r="V20" i="2"/>
  <c r="Y20" i="2" s="1"/>
  <c r="X20" i="2"/>
  <c r="X61" i="2"/>
  <c r="V61" i="2"/>
  <c r="Y61" i="2" s="1"/>
  <c r="W61" i="2"/>
  <c r="X3" i="2"/>
  <c r="X116" i="2"/>
  <c r="V116" i="2"/>
  <c r="Y116" i="2" s="1"/>
  <c r="W116" i="2"/>
  <c r="W35" i="2"/>
  <c r="V35" i="2"/>
  <c r="Y35" i="2" s="1"/>
  <c r="X35" i="2"/>
  <c r="W139" i="2"/>
  <c r="V139" i="2"/>
  <c r="Y139" i="2" s="1"/>
  <c r="X139" i="2"/>
  <c r="W75" i="2"/>
  <c r="V75" i="2"/>
  <c r="Y75" i="2" s="1"/>
  <c r="X75" i="2"/>
  <c r="W64" i="2"/>
  <c r="V64" i="2"/>
  <c r="Y64" i="2" s="1"/>
  <c r="X64" i="2"/>
  <c r="W37" i="2"/>
  <c r="V37" i="2"/>
  <c r="Y37" i="2" s="1"/>
  <c r="X37" i="2"/>
  <c r="X124" i="2"/>
  <c r="V124" i="2"/>
  <c r="Y124" i="2" s="1"/>
  <c r="W124" i="2"/>
  <c r="X170" i="2"/>
  <c r="V170" i="2"/>
  <c r="Y170" i="2" s="1"/>
  <c r="W170" i="2"/>
  <c r="X154" i="2"/>
  <c r="V154" i="2"/>
  <c r="Y154" i="2" s="1"/>
  <c r="W154" i="2"/>
  <c r="W73" i="2"/>
  <c r="V73" i="2"/>
  <c r="Y73" i="2" s="1"/>
  <c r="X73" i="2"/>
  <c r="X156" i="2"/>
  <c r="V156" i="2"/>
  <c r="Y156" i="2" s="1"/>
  <c r="W156" i="2"/>
  <c r="W24" i="2"/>
  <c r="V24" i="2"/>
  <c r="Y24" i="2" s="1"/>
  <c r="X24" i="2"/>
  <c r="W109" i="2"/>
  <c r="V109" i="2"/>
  <c r="Y109" i="2" s="1"/>
  <c r="X109" i="2"/>
  <c r="W135" i="2"/>
  <c r="V135" i="2"/>
  <c r="Y135" i="2" s="1"/>
  <c r="X135" i="2"/>
  <c r="W27" i="2"/>
  <c r="V27" i="2"/>
  <c r="Y27" i="2" s="1"/>
  <c r="X27" i="2"/>
  <c r="X167" i="2"/>
  <c r="V167" i="2"/>
  <c r="Y167" i="2" s="1"/>
  <c r="W167" i="2"/>
  <c r="W89" i="2"/>
  <c r="V89" i="2"/>
  <c r="Y89" i="2" s="1"/>
  <c r="X89" i="2"/>
  <c r="W131" i="2"/>
  <c r="V131" i="2"/>
  <c r="Y131" i="2" s="1"/>
  <c r="X131" i="2"/>
  <c r="X111" i="2"/>
  <c r="V111" i="2"/>
  <c r="Y111" i="2" s="1"/>
  <c r="W111" i="2"/>
  <c r="X71" i="2"/>
  <c r="V71" i="2"/>
  <c r="Y71" i="2" s="1"/>
  <c r="W71" i="2"/>
  <c r="W107" i="2"/>
  <c r="V107" i="2"/>
  <c r="Y107" i="2" s="1"/>
  <c r="X107" i="2"/>
  <c r="X57" i="2"/>
  <c r="V57" i="2"/>
  <c r="Y57" i="2" s="1"/>
  <c r="W57" i="2"/>
  <c r="X144" i="2"/>
  <c r="V144" i="2"/>
  <c r="Y144" i="2" s="1"/>
  <c r="W144" i="2"/>
  <c r="X52" i="2"/>
  <c r="V52" i="2"/>
  <c r="Y52" i="2" s="1"/>
  <c r="W52" i="2"/>
  <c r="X99" i="2"/>
  <c r="V99" i="2"/>
  <c r="Y99" i="2" s="1"/>
  <c r="W99" i="2"/>
  <c r="X26" i="2"/>
  <c r="V26" i="2"/>
  <c r="Y26" i="2" s="1"/>
  <c r="W26" i="2"/>
  <c r="W96" i="2"/>
  <c r="V96" i="2"/>
  <c r="Y96" i="2" s="1"/>
  <c r="X96" i="2"/>
  <c r="X141" i="2"/>
  <c r="V141" i="2"/>
  <c r="Y141" i="2" s="1"/>
  <c r="W141" i="2"/>
  <c r="X25" i="2"/>
  <c r="V25" i="2"/>
  <c r="Y25" i="2" s="1"/>
  <c r="W25" i="2"/>
  <c r="W102" i="2"/>
  <c r="V102" i="2"/>
  <c r="Y102" i="2" s="1"/>
  <c r="X102" i="2"/>
  <c r="X120" i="2"/>
  <c r="V120" i="2"/>
  <c r="Y120" i="2" s="1"/>
  <c r="W120" i="2"/>
  <c r="X97" i="2"/>
  <c r="V97" i="2"/>
  <c r="Y97" i="2" s="1"/>
  <c r="W97" i="2"/>
  <c r="W90" i="2"/>
  <c r="V90" i="2"/>
  <c r="Y90" i="2" s="1"/>
  <c r="X90" i="2"/>
  <c r="W16" i="2"/>
  <c r="V16" i="2"/>
  <c r="Y16" i="2" s="1"/>
  <c r="X16" i="2"/>
  <c r="X126" i="2"/>
  <c r="V126" i="2"/>
  <c r="Y126" i="2" s="1"/>
  <c r="W126" i="2"/>
  <c r="X164" i="2"/>
  <c r="V164" i="2"/>
  <c r="Y164" i="2" s="1"/>
  <c r="W164" i="2"/>
  <c r="X147" i="2"/>
  <c r="V147" i="2"/>
  <c r="Y147" i="2" s="1"/>
  <c r="W147" i="2"/>
  <c r="W59" i="2"/>
  <c r="V59" i="2"/>
  <c r="Y59" i="2" s="1"/>
  <c r="X59" i="2"/>
  <c r="X81" i="2"/>
  <c r="V81" i="2"/>
  <c r="Y81" i="2" s="1"/>
  <c r="W81" i="2"/>
  <c r="W39" i="2"/>
  <c r="V39" i="2"/>
  <c r="Y39" i="2" s="1"/>
  <c r="X39" i="2"/>
  <c r="W84" i="2"/>
  <c r="V84" i="2"/>
  <c r="Y84" i="2" s="1"/>
  <c r="X84" i="2"/>
  <c r="W153" i="2"/>
  <c r="V153" i="2"/>
  <c r="Y153" i="2" s="1"/>
  <c r="X153" i="2"/>
  <c r="W100" i="2"/>
  <c r="V100" i="2"/>
  <c r="Y100" i="2" s="1"/>
  <c r="X100" i="2"/>
  <c r="X192" i="2"/>
  <c r="V192" i="2"/>
  <c r="Y192" i="2" s="1"/>
  <c r="W192" i="2"/>
  <c r="W98" i="2"/>
  <c r="V98" i="2"/>
  <c r="Y98" i="2" s="1"/>
  <c r="X98" i="2"/>
  <c r="X157" i="2"/>
  <c r="V157" i="2"/>
  <c r="Y157" i="2" s="1"/>
  <c r="W157" i="2"/>
  <c r="X85" i="2"/>
  <c r="V85" i="2"/>
  <c r="Y85" i="2" s="1"/>
  <c r="W85" i="2"/>
  <c r="W148" i="2"/>
  <c r="V148" i="2"/>
  <c r="Y148" i="2" s="1"/>
  <c r="X148" i="2"/>
  <c r="X46" i="2"/>
  <c r="V46" i="2"/>
  <c r="Y46" i="2" s="1"/>
  <c r="W46" i="2"/>
  <c r="W9" i="2"/>
  <c r="V9" i="2"/>
  <c r="Y9" i="2" s="1"/>
  <c r="X9" i="2"/>
  <c r="W55" i="2"/>
  <c r="V55" i="2"/>
  <c r="Y55" i="2" s="1"/>
  <c r="X55" i="2"/>
  <c r="X91" i="2"/>
  <c r="V91" i="2"/>
  <c r="Y91" i="2" s="1"/>
  <c r="W91" i="2"/>
  <c r="W51" i="2"/>
  <c r="V51" i="2"/>
  <c r="Y51" i="2" s="1"/>
  <c r="X51" i="2"/>
  <c r="W94" i="2"/>
  <c r="V94" i="2"/>
  <c r="Y94" i="2" s="1"/>
  <c r="X94" i="2"/>
  <c r="X143" i="2"/>
  <c r="V143" i="2"/>
  <c r="Y143" i="2" s="1"/>
  <c r="W143" i="2"/>
  <c r="X30" i="2"/>
  <c r="V30" i="2"/>
  <c r="Y30" i="2" s="1"/>
  <c r="W30" i="2"/>
  <c r="W5" i="2"/>
  <c r="V5" i="2"/>
  <c r="Y5" i="2" s="1"/>
  <c r="X5" i="2"/>
  <c r="X172" i="2"/>
  <c r="V172" i="2"/>
  <c r="Y172" i="2" s="1"/>
  <c r="W172" i="2"/>
  <c r="X169" i="2"/>
  <c r="V169" i="2"/>
  <c r="Y169" i="2" s="1"/>
  <c r="W169" i="2"/>
  <c r="W70" i="2"/>
  <c r="V70" i="2"/>
  <c r="Y70" i="2" s="1"/>
  <c r="X70" i="2"/>
  <c r="W183" i="2"/>
  <c r="V183" i="2"/>
  <c r="Y183" i="2" s="1"/>
  <c r="X183" i="2"/>
  <c r="X13" i="2"/>
  <c r="V13" i="2"/>
  <c r="Y13" i="2" s="1"/>
  <c r="W13" i="2"/>
  <c r="X193" i="2"/>
  <c r="V193" i="2"/>
  <c r="Y193" i="2" s="1"/>
  <c r="W193" i="2"/>
  <c r="X118" i="2"/>
  <c r="V118" i="2"/>
  <c r="Y118" i="2" s="1"/>
  <c r="W118" i="2"/>
  <c r="W32" i="2"/>
  <c r="V32" i="2"/>
  <c r="Y32" i="2" s="1"/>
  <c r="X32" i="2"/>
  <c r="X113" i="2"/>
  <c r="V113" i="2"/>
  <c r="Y113" i="2" s="1"/>
  <c r="W113" i="2"/>
  <c r="W138" i="2"/>
  <c r="V138" i="2"/>
  <c r="Y138" i="2" s="1"/>
  <c r="X138" i="2"/>
  <c r="X80" i="2"/>
  <c r="V80" i="2"/>
  <c r="Y80" i="2" s="1"/>
  <c r="W80" i="2"/>
  <c r="W87" i="2"/>
  <c r="V87" i="2"/>
  <c r="Y87" i="2" s="1"/>
  <c r="X87" i="2"/>
  <c r="W42" i="2"/>
  <c r="V42" i="2"/>
  <c r="Y42" i="2" s="1"/>
  <c r="X42" i="2"/>
  <c r="X184" i="2"/>
  <c r="V184" i="2"/>
  <c r="Y184" i="2" s="1"/>
  <c r="W184" i="2"/>
  <c r="X93" i="2"/>
  <c r="V93" i="2"/>
  <c r="Y93" i="2" s="1"/>
  <c r="W93" i="2"/>
  <c r="W188" i="2"/>
  <c r="X188" i="2"/>
  <c r="W6" i="2"/>
  <c r="V6" i="2"/>
  <c r="Y6" i="2" s="1"/>
  <c r="X6" i="2"/>
  <c r="X140" i="2"/>
  <c r="V140" i="2"/>
  <c r="Y140" i="2" s="1"/>
  <c r="W140" i="2"/>
  <c r="W145" i="2"/>
  <c r="V145" i="2"/>
  <c r="Y145" i="2" s="1"/>
  <c r="X145" i="2"/>
  <c r="W43" i="2"/>
  <c r="V43" i="2"/>
  <c r="Y43" i="2" s="1"/>
  <c r="X43" i="2"/>
  <c r="W65" i="2"/>
  <c r="V65" i="2"/>
  <c r="Y65" i="2" s="1"/>
  <c r="X65" i="2"/>
  <c r="X173" i="2"/>
  <c r="V173" i="2"/>
  <c r="Y173" i="2" s="1"/>
  <c r="W173" i="2"/>
  <c r="X23" i="2"/>
  <c r="V23" i="2"/>
  <c r="Y23" i="2" s="1"/>
  <c r="W23" i="2"/>
  <c r="W54" i="2"/>
  <c r="V54" i="2"/>
  <c r="Y54" i="2" s="1"/>
  <c r="X54" i="2"/>
  <c r="W165" i="2"/>
  <c r="V165" i="2"/>
  <c r="Y165" i="2" s="1"/>
  <c r="X165" i="2"/>
  <c r="W47" i="2"/>
  <c r="V47" i="2"/>
  <c r="Y47" i="2" s="1"/>
  <c r="X47" i="2"/>
  <c r="X155" i="2"/>
  <c r="V155" i="2"/>
  <c r="Y155" i="2" s="1"/>
  <c r="W155" i="2"/>
  <c r="X163" i="2"/>
  <c r="V163" i="2"/>
  <c r="Y163" i="2" s="1"/>
  <c r="W163" i="2"/>
  <c r="W92" i="2"/>
  <c r="V92" i="2"/>
  <c r="Y92" i="2" s="1"/>
  <c r="X92" i="2"/>
  <c r="W34" i="2"/>
  <c r="V34" i="2"/>
  <c r="Y34" i="2" s="1"/>
  <c r="X34" i="2"/>
  <c r="W49" i="2"/>
  <c r="V49" i="2"/>
  <c r="Y49" i="2" s="1"/>
  <c r="X49" i="2"/>
  <c r="X166" i="2"/>
  <c r="V166" i="2"/>
  <c r="Y166" i="2" s="1"/>
  <c r="W166" i="2"/>
  <c r="W63" i="2"/>
  <c r="V63" i="2"/>
  <c r="Y63" i="2" s="1"/>
  <c r="X63" i="2"/>
  <c r="W21" i="2"/>
  <c r="V21" i="2"/>
  <c r="Y21" i="2" s="1"/>
  <c r="X21" i="2"/>
  <c r="X104" i="2"/>
  <c r="V104" i="2"/>
  <c r="Y104" i="2" s="1"/>
  <c r="W104" i="2"/>
  <c r="X11" i="2"/>
  <c r="V11" i="2"/>
  <c r="Y11" i="2" s="1"/>
  <c r="W11" i="2"/>
  <c r="X194" i="2"/>
  <c r="V194" i="2"/>
  <c r="Y194" i="2" s="1"/>
  <c r="W194" i="2"/>
  <c r="X159" i="2"/>
  <c r="V159" i="2"/>
  <c r="Y159" i="2" s="1"/>
  <c r="W159" i="2"/>
  <c r="W178" i="2"/>
  <c r="V178" i="2"/>
  <c r="Y178" i="2" s="1"/>
  <c r="X178" i="2"/>
  <c r="W123" i="2"/>
  <c r="V123" i="2"/>
  <c r="Y123" i="2" s="1"/>
  <c r="X123" i="2"/>
  <c r="X174" i="2"/>
  <c r="V174" i="2"/>
  <c r="Y174" i="2" s="1"/>
  <c r="W174" i="2"/>
  <c r="W18" i="2"/>
  <c r="V18" i="2"/>
  <c r="Y18" i="2" s="1"/>
  <c r="X18" i="2"/>
  <c r="W53" i="2"/>
  <c r="V53" i="2"/>
  <c r="Y53" i="2" s="1"/>
  <c r="X53" i="2"/>
  <c r="W10" i="2"/>
  <c r="V10" i="2"/>
  <c r="Y10" i="2" s="1"/>
  <c r="X10" i="2"/>
  <c r="X44" i="2"/>
  <c r="V44" i="2"/>
  <c r="Y44" i="2" s="1"/>
  <c r="W44" i="2"/>
  <c r="W146" i="2"/>
  <c r="V146" i="2"/>
  <c r="Y146" i="2" s="1"/>
  <c r="X146" i="2"/>
  <c r="W130" i="2"/>
  <c r="V130" i="2"/>
  <c r="Y130" i="2" s="1"/>
  <c r="X130" i="2"/>
  <c r="V3" i="2"/>
  <c r="Y3" i="2" s="1"/>
  <c r="O8" i="6" a="1"/>
  <c r="O8" i="6" s="1"/>
  <c r="W12" i="2"/>
  <c r="V12" i="2"/>
  <c r="Y12" i="2" s="1"/>
  <c r="O6" i="6"/>
  <c r="X15" i="2"/>
  <c r="V15" i="2"/>
  <c r="Y15" i="2" s="1"/>
  <c r="W15" i="2"/>
  <c r="W29" i="2"/>
  <c r="V29" i="2"/>
  <c r="Y29" i="2" s="1"/>
  <c r="X29" i="2"/>
  <c r="X7" i="2"/>
  <c r="V7" i="2"/>
  <c r="Y7" i="2" s="1"/>
  <c r="W7" i="2"/>
  <c r="X38" i="2"/>
  <c r="V38" i="2"/>
  <c r="Y38" i="2" s="1"/>
  <c r="W38" i="2"/>
  <c r="W41" i="2"/>
  <c r="V41" i="2"/>
  <c r="Y41" i="2" s="1"/>
  <c r="X41" i="2"/>
  <c r="W175" i="2"/>
  <c r="V175" i="2"/>
  <c r="Y175" i="2" s="1"/>
  <c r="X175" i="2"/>
  <c r="X137" i="2"/>
  <c r="V137" i="2"/>
  <c r="Y137" i="2" s="1"/>
  <c r="W137" i="2"/>
  <c r="W36" i="2"/>
  <c r="V36" i="2"/>
  <c r="Y36" i="2" s="1"/>
  <c r="X36" i="2"/>
  <c r="W122" i="2"/>
  <c r="V122" i="2"/>
  <c r="Y122" i="2" s="1"/>
  <c r="X122" i="2"/>
  <c r="W83" i="2"/>
  <c r="V83" i="2"/>
  <c r="Y83" i="2" s="1"/>
  <c r="X83" i="2"/>
  <c r="X17" i="2"/>
  <c r="V17" i="2"/>
  <c r="Y17" i="2" s="1"/>
  <c r="W17" i="2"/>
  <c r="W22" i="2"/>
  <c r="V22" i="2"/>
  <c r="Y22" i="2" s="1"/>
  <c r="X22" i="2"/>
  <c r="W132" i="2"/>
  <c r="V132" i="2"/>
  <c r="Y132" i="2" s="1"/>
  <c r="X132" i="2"/>
  <c r="W56" i="2"/>
  <c r="V56" i="2"/>
  <c r="Y56" i="2" s="1"/>
  <c r="X56" i="2"/>
  <c r="W95" i="2"/>
  <c r="V95" i="2"/>
  <c r="Y95" i="2" s="1"/>
  <c r="X95" i="2"/>
  <c r="X67" i="2"/>
  <c r="V67" i="2"/>
  <c r="Y67" i="2" s="1"/>
  <c r="W67" i="2"/>
  <c r="X74" i="2"/>
  <c r="V74" i="2"/>
  <c r="Y74" i="2" s="1"/>
  <c r="W74" i="2"/>
  <c r="W105" i="2"/>
  <c r="V105" i="2"/>
  <c r="Y105" i="2" s="1"/>
  <c r="X105" i="2"/>
  <c r="X133" i="2"/>
  <c r="V133" i="2"/>
  <c r="Y133" i="2" s="1"/>
  <c r="W133" i="2"/>
  <c r="W77" i="2"/>
  <c r="V77" i="2"/>
  <c r="Y77" i="2" s="1"/>
  <c r="X77" i="2"/>
  <c r="W186" i="2"/>
  <c r="V186" i="2"/>
  <c r="Y186" i="2" s="1"/>
  <c r="X186" i="2"/>
  <c r="X161" i="2"/>
  <c r="V161" i="2"/>
  <c r="Y161" i="2" s="1"/>
  <c r="W161" i="2"/>
  <c r="W66" i="2"/>
  <c r="V66" i="2"/>
  <c r="Y66" i="2" s="1"/>
  <c r="X66" i="2"/>
  <c r="X28" i="2"/>
  <c r="V28" i="2"/>
  <c r="Y28" i="2" s="1"/>
  <c r="W28" i="2"/>
  <c r="X8" i="2"/>
  <c r="V8" i="2"/>
  <c r="Y8" i="2" s="1"/>
  <c r="W8" i="2"/>
  <c r="W134" i="2"/>
  <c r="V134" i="2"/>
  <c r="Y134" i="2" s="1"/>
  <c r="X134" i="2"/>
  <c r="W72" i="2"/>
  <c r="V72" i="2"/>
  <c r="Y72" i="2" s="1"/>
  <c r="X72" i="2"/>
  <c r="W177" i="2"/>
  <c r="V177" i="2"/>
  <c r="Y177" i="2" s="1"/>
  <c r="X177" i="2"/>
  <c r="X190" i="2"/>
  <c r="V190" i="2"/>
  <c r="Y190" i="2" s="1"/>
  <c r="W190" i="2"/>
  <c r="W40" i="2"/>
  <c r="V40" i="2"/>
  <c r="Y40" i="2" s="1"/>
  <c r="X40" i="2"/>
  <c r="W58" i="2"/>
  <c r="V58" i="2"/>
  <c r="Y58" i="2" s="1"/>
  <c r="X58" i="2"/>
  <c r="X48" i="2"/>
  <c r="V48" i="2"/>
  <c r="Y48" i="2" s="1"/>
  <c r="W48" i="2"/>
  <c r="X149" i="2"/>
  <c r="V149" i="2"/>
  <c r="Y149" i="2" s="1"/>
  <c r="W149" i="2"/>
  <c r="X78" i="2"/>
  <c r="V78" i="2"/>
  <c r="Y78" i="2" s="1"/>
  <c r="W78" i="2"/>
  <c r="W152" i="2"/>
  <c r="V152" i="2"/>
  <c r="Y152" i="2" s="1"/>
  <c r="X152" i="2"/>
  <c r="X128" i="2"/>
  <c r="V128" i="2"/>
  <c r="Y128" i="2" s="1"/>
  <c r="W128" i="2"/>
  <c r="X121" i="2"/>
  <c r="V121" i="2"/>
  <c r="Y121" i="2" s="1"/>
  <c r="W121" i="2"/>
  <c r="X19" i="2"/>
  <c r="V19" i="2"/>
  <c r="Y19" i="2" s="1"/>
  <c r="W19" i="2"/>
  <c r="X103" i="2"/>
  <c r="V103" i="2"/>
  <c r="Y103" i="2" s="1"/>
  <c r="W103" i="2"/>
  <c r="X60" i="2"/>
  <c r="V60" i="2"/>
  <c r="Y60" i="2" s="1"/>
  <c r="W60" i="2"/>
  <c r="W68" i="2"/>
  <c r="V68" i="2"/>
  <c r="Y68" i="2" s="1"/>
  <c r="X68" i="2"/>
  <c r="X168" i="2"/>
  <c r="V168" i="2"/>
  <c r="Y168" i="2" s="1"/>
  <c r="W168" i="2"/>
  <c r="W114" i="2"/>
  <c r="V114" i="2"/>
  <c r="Y114" i="2" s="1"/>
  <c r="X114" i="2"/>
  <c r="W14" i="2"/>
  <c r="V14" i="2"/>
  <c r="Y14" i="2" s="1"/>
  <c r="X14" i="2"/>
  <c r="X181" i="2"/>
  <c r="V181" i="2"/>
  <c r="Y181" i="2" s="1"/>
  <c r="W181" i="2"/>
  <c r="X185" i="2"/>
  <c r="V185" i="2"/>
  <c r="Y185" i="2" s="1"/>
  <c r="W185" i="2"/>
  <c r="X45" i="2"/>
  <c r="V45" i="2"/>
  <c r="Y45" i="2" s="1"/>
  <c r="W45" i="2"/>
  <c r="X129" i="2"/>
  <c r="V129" i="2"/>
  <c r="Y129" i="2" s="1"/>
  <c r="W129" i="2"/>
  <c r="X142" i="2"/>
  <c r="V142" i="2"/>
  <c r="Y142" i="2" s="1"/>
  <c r="W142" i="2"/>
  <c r="X151" i="2"/>
  <c r="V151" i="2"/>
  <c r="Y151" i="2" s="1"/>
  <c r="W151" i="2"/>
  <c r="X182" i="2"/>
  <c r="V182" i="2"/>
  <c r="Y182" i="2" s="1"/>
  <c r="W182" i="2"/>
  <c r="W127" i="2"/>
  <c r="V127" i="2"/>
  <c r="Y127" i="2" s="1"/>
  <c r="X127" i="2"/>
  <c r="X101" i="2"/>
  <c r="V101" i="2"/>
  <c r="Y101" i="2" s="1"/>
  <c r="W101" i="2"/>
  <c r="X171" i="2"/>
  <c r="V171" i="2"/>
  <c r="Y171" i="2" s="1"/>
  <c r="W171" i="2"/>
  <c r="W180" i="2"/>
  <c r="V180" i="2"/>
  <c r="Y180" i="2" s="1"/>
  <c r="X180" i="2"/>
  <c r="W110" i="2"/>
  <c r="V110" i="2"/>
  <c r="Y110" i="2" s="1"/>
  <c r="X110" i="2"/>
  <c r="W136" i="2"/>
  <c r="V136" i="2"/>
  <c r="Y136" i="2" s="1"/>
  <c r="X136" i="2"/>
  <c r="X112" i="2"/>
  <c r="V112" i="2"/>
  <c r="Y112" i="2" s="1"/>
  <c r="W112" i="2"/>
  <c r="W162" i="2"/>
  <c r="V162" i="2"/>
  <c r="Y162" i="2" s="1"/>
  <c r="X162" i="2"/>
  <c r="W150" i="2"/>
  <c r="V150" i="2"/>
  <c r="Y150" i="2" s="1"/>
  <c r="X150" i="2"/>
  <c r="X88" i="2"/>
  <c r="V88" i="2"/>
  <c r="Y88" i="2" s="1"/>
  <c r="W88" i="2"/>
  <c r="W4" i="2"/>
  <c r="V4" i="2"/>
  <c r="Y4" i="2" s="1"/>
  <c r="X4" i="2"/>
  <c r="W179" i="2"/>
  <c r="V179" i="2"/>
  <c r="Y179" i="2" s="1"/>
  <c r="X179" i="2"/>
  <c r="X50" i="2"/>
  <c r="V50" i="2"/>
  <c r="Y50" i="2" s="1"/>
  <c r="W50" i="2"/>
  <c r="X158" i="2"/>
  <c r="V158" i="2"/>
  <c r="Y158" i="2" s="1"/>
  <c r="W158" i="2"/>
  <c r="W117" i="2"/>
  <c r="V117" i="2"/>
  <c r="Y117" i="2" s="1"/>
  <c r="X117" i="2"/>
  <c r="W31" i="2"/>
  <c r="V31" i="2"/>
  <c r="Y31" i="2" s="1"/>
  <c r="X31" i="2"/>
  <c r="W33" i="2"/>
  <c r="V33" i="2"/>
  <c r="Y33" i="2" s="1"/>
  <c r="X33" i="2"/>
  <c r="X189" i="2"/>
  <c r="V189" i="2"/>
  <c r="Y189" i="2" s="1"/>
  <c r="W189" i="2"/>
  <c r="X160" i="2"/>
  <c r="V160" i="2"/>
  <c r="Y160" i="2" s="1"/>
  <c r="W160" i="2"/>
  <c r="X187" i="2"/>
  <c r="V187" i="2"/>
  <c r="Y187" i="2" s="1"/>
  <c r="W187" i="2"/>
  <c r="X69" i="2"/>
  <c r="V69" i="2"/>
  <c r="Y69" i="2" s="1"/>
  <c r="W69" i="2"/>
  <c r="X62" i="2"/>
  <c r="V62" i="2"/>
  <c r="Y62" i="2" s="1"/>
  <c r="W62" i="2"/>
  <c r="W176" i="2"/>
  <c r="V176" i="2"/>
  <c r="Y176" i="2" s="1"/>
  <c r="X176" i="2"/>
  <c r="W86" i="2"/>
  <c r="V86" i="2"/>
  <c r="Y86" i="2" s="1"/>
  <c r="X86" i="2"/>
  <c r="X79" i="2"/>
  <c r="V79" i="2"/>
  <c r="Y79" i="2" s="1"/>
  <c r="W79" i="2"/>
  <c r="W76" i="2"/>
  <c r="V76" i="2"/>
  <c r="Y76" i="2" s="1"/>
  <c r="X76" i="2"/>
  <c r="X191" i="2"/>
  <c r="V191" i="2"/>
  <c r="Y191" i="2" s="1"/>
  <c r="W191" i="2"/>
  <c r="W82" i="2"/>
  <c r="V82" i="2"/>
  <c r="Y82" i="2" s="1"/>
  <c r="X82" i="2"/>
  <c r="X125" i="2"/>
  <c r="V125" i="2"/>
  <c r="Y125" i="2" s="1"/>
  <c r="W125" i="2"/>
  <c r="W119" i="2"/>
  <c r="V119" i="2"/>
  <c r="Y119" i="2" s="1"/>
  <c r="X119" i="2"/>
  <c r="X115" i="2"/>
  <c r="V115" i="2"/>
  <c r="Y115" i="2" s="1"/>
  <c r="W115" i="2"/>
  <c r="W108" i="2"/>
  <c r="V108" i="2"/>
  <c r="Y108" i="2" s="1"/>
  <c r="X108" i="2"/>
  <c r="W106" i="2"/>
  <c r="V106" i="2"/>
  <c r="Y106" i="2" s="1"/>
  <c r="X106" i="2"/>
  <c r="Q6" i="6" l="1"/>
  <c r="S8" i="6" a="1"/>
  <c r="S8" i="6" s="1"/>
  <c r="D22" i="10"/>
  <c r="S6" i="6"/>
  <c r="P6" i="6"/>
  <c r="R8" i="6" a="1"/>
  <c r="R8" i="6" s="1"/>
  <c r="Q8" i="6" a="1"/>
  <c r="Q8" i="6" s="1"/>
  <c r="P8" i="6" a="1"/>
  <c r="P8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<sst xmlns="http://schemas.openxmlformats.org/spreadsheetml/2006/main" count="1062" uniqueCount="404">
  <si>
    <t>Those Days</t>
  </si>
  <si>
    <t>Yellow</t>
  </si>
  <si>
    <t>Pink</t>
  </si>
  <si>
    <t>Pads</t>
  </si>
  <si>
    <t>Category</t>
  </si>
  <si>
    <t>Charmee</t>
  </si>
  <si>
    <t>with wings</t>
  </si>
  <si>
    <t>Modess</t>
  </si>
  <si>
    <t>8+2 Pads</t>
  </si>
  <si>
    <t>Sisters</t>
  </si>
  <si>
    <t>8+1 Pads</t>
  </si>
  <si>
    <t>Brand</t>
  </si>
  <si>
    <t>Toothbrush</t>
  </si>
  <si>
    <t>Oral-B</t>
  </si>
  <si>
    <t>Shiny Clean</t>
  </si>
  <si>
    <t>Shampoo</t>
  </si>
  <si>
    <t>Palmolive</t>
  </si>
  <si>
    <t>Fabric Conditioner</t>
  </si>
  <si>
    <t>Surf</t>
  </si>
  <si>
    <t>Blossom Fresh (Pink)</t>
  </si>
  <si>
    <t>Luxe Perfume (Red)</t>
  </si>
  <si>
    <t>Conditioner</t>
  </si>
  <si>
    <t>Cream Silk</t>
  </si>
  <si>
    <t>Standout Straight (Pink)</t>
  </si>
  <si>
    <t>Toothpaste</t>
  </si>
  <si>
    <t>Closeup</t>
  </si>
  <si>
    <t>Twin Pack (Red Hot)</t>
  </si>
  <si>
    <t>Twin Pack - Green (Menthol Fresh)</t>
  </si>
  <si>
    <t>Colgate</t>
  </si>
  <si>
    <t>Regular</t>
  </si>
  <si>
    <t>Sunsilk</t>
  </si>
  <si>
    <t>Green</t>
  </si>
  <si>
    <t>Powder</t>
  </si>
  <si>
    <t>Tide</t>
  </si>
  <si>
    <t>with Downy Perfume Fantasy</t>
  </si>
  <si>
    <t>Candle</t>
  </si>
  <si>
    <t>Liwanag</t>
  </si>
  <si>
    <t>Esperma Candle</t>
  </si>
  <si>
    <t>Zonrox</t>
  </si>
  <si>
    <t>Original White</t>
  </si>
  <si>
    <t>Bleach</t>
  </si>
  <si>
    <t>Colored</t>
  </si>
  <si>
    <t>Calamansi</t>
  </si>
  <si>
    <t>Rose Pink</t>
  </si>
  <si>
    <t>Calla</t>
  </si>
  <si>
    <t>Violet</t>
  </si>
  <si>
    <t>Soap</t>
  </si>
  <si>
    <t>Silka</t>
  </si>
  <si>
    <t>Papaya</t>
  </si>
  <si>
    <t>Safeguard</t>
  </si>
  <si>
    <t>white</t>
  </si>
  <si>
    <t>Pantene</t>
  </si>
  <si>
    <t>Biotin</t>
  </si>
  <si>
    <t>Downy</t>
  </si>
  <si>
    <t>Antibac</t>
  </si>
  <si>
    <t>Anti-Hairfall</t>
  </si>
  <si>
    <t>Total Damage Care</t>
  </si>
  <si>
    <t>Head &amp; Shoulders</t>
  </si>
  <si>
    <t>Cool Menthol (Green)</t>
  </si>
  <si>
    <t>Bar</t>
  </si>
  <si>
    <t>Tawas (Blue)</t>
  </si>
  <si>
    <t>FM</t>
  </si>
  <si>
    <t>NF</t>
  </si>
  <si>
    <t>FM- Fast Moving</t>
  </si>
  <si>
    <t>NF- Non-Fast Moving</t>
  </si>
  <si>
    <t>Cost Price</t>
  </si>
  <si>
    <t>Selling Price</t>
  </si>
  <si>
    <t>Markup Percent</t>
  </si>
  <si>
    <t>Cost Percent</t>
  </si>
  <si>
    <t>Soy Sauce</t>
  </si>
  <si>
    <t>Datu Puti</t>
  </si>
  <si>
    <t>200ml</t>
  </si>
  <si>
    <t>Vinegar</t>
  </si>
  <si>
    <t>150ml</t>
  </si>
  <si>
    <t>Fish Sauce</t>
  </si>
  <si>
    <t>Tomato Sauce</t>
  </si>
  <si>
    <t>Del Monte</t>
  </si>
  <si>
    <t>115g</t>
  </si>
  <si>
    <t>Ketchup</t>
  </si>
  <si>
    <t>UFC</t>
  </si>
  <si>
    <t>200g</t>
  </si>
  <si>
    <t>Coffee</t>
  </si>
  <si>
    <t>Kopiko</t>
  </si>
  <si>
    <t>Blanca (Twin Pack)</t>
  </si>
  <si>
    <t>Supremo 2g</t>
  </si>
  <si>
    <t>Cubes</t>
  </si>
  <si>
    <t>Knorr</t>
  </si>
  <si>
    <t>Pork</t>
  </si>
  <si>
    <t>Chicken</t>
  </si>
  <si>
    <t>Powdered Milk</t>
  </si>
  <si>
    <t>Bear Brand</t>
  </si>
  <si>
    <t>33g</t>
  </si>
  <si>
    <t>Noodles</t>
  </si>
  <si>
    <t>Nissin</t>
  </si>
  <si>
    <t>Ramen Seafood</t>
  </si>
  <si>
    <t>Lucky Me</t>
  </si>
  <si>
    <t>Kasalo Chilimansi</t>
  </si>
  <si>
    <t>Kasalo Kalamansi</t>
  </si>
  <si>
    <t>Chilimansi</t>
  </si>
  <si>
    <t>Sweet and Spicy</t>
  </si>
  <si>
    <t>Pancit Canton</t>
  </si>
  <si>
    <t>Extra Hot</t>
  </si>
  <si>
    <t>Kalamansi</t>
  </si>
  <si>
    <t>Spread</t>
  </si>
  <si>
    <t>Cheez Whiz</t>
  </si>
  <si>
    <t>24g</t>
  </si>
  <si>
    <t>Spicy Chicken</t>
  </si>
  <si>
    <t>Chicken na Chicken</t>
  </si>
  <si>
    <t>Beef na beef</t>
  </si>
  <si>
    <t>Spicy Beef</t>
  </si>
  <si>
    <t>Magic Sarap</t>
  </si>
  <si>
    <t>Maggi</t>
  </si>
  <si>
    <t>MSG</t>
  </si>
  <si>
    <t>Topps</t>
  </si>
  <si>
    <t>Combo</t>
  </si>
  <si>
    <t>Biscuits</t>
  </si>
  <si>
    <t>Bread</t>
  </si>
  <si>
    <t>Choco Tops</t>
  </si>
  <si>
    <t>Snacks</t>
  </si>
  <si>
    <t>Marty's Cracklin'</t>
  </si>
  <si>
    <t>20g</t>
  </si>
  <si>
    <t>Piattos</t>
  </si>
  <si>
    <t>Roadhaus</t>
  </si>
  <si>
    <t>Spicy 24g</t>
  </si>
  <si>
    <t>Roller Coaster</t>
  </si>
  <si>
    <t>Cheddar</t>
  </si>
  <si>
    <t>Oishi</t>
  </si>
  <si>
    <t>Pillows Ube</t>
  </si>
  <si>
    <t>Mang Juan</t>
  </si>
  <si>
    <t>Suka</t>
  </si>
  <si>
    <t>Cheese Ring</t>
  </si>
  <si>
    <t>25g</t>
  </si>
  <si>
    <t>Suka't Sili</t>
  </si>
  <si>
    <t>Loaded</t>
  </si>
  <si>
    <t>White 65g</t>
  </si>
  <si>
    <t>White 32g</t>
  </si>
  <si>
    <t>Clover</t>
  </si>
  <si>
    <t>Chips</t>
  </si>
  <si>
    <t>Choco 32g</t>
  </si>
  <si>
    <t>Happy</t>
  </si>
  <si>
    <t>Nut Reg</t>
  </si>
  <si>
    <t>Candy</t>
  </si>
  <si>
    <t>Mentos</t>
  </si>
  <si>
    <t>Fruit 100's</t>
  </si>
  <si>
    <t>XO</t>
  </si>
  <si>
    <t>Caramel</t>
  </si>
  <si>
    <t>MAXX</t>
  </si>
  <si>
    <t>Honey Lemon</t>
  </si>
  <si>
    <t>Cherry</t>
  </si>
  <si>
    <t>Iced Gem</t>
  </si>
  <si>
    <t>Biscuit</t>
  </si>
  <si>
    <t>Lemon Square</t>
  </si>
  <si>
    <t>Cheese Cake</t>
  </si>
  <si>
    <t>Fita</t>
  </si>
  <si>
    <t>Singles 10's</t>
  </si>
  <si>
    <t>Sky Flakes</t>
  </si>
  <si>
    <t>Crackers</t>
  </si>
  <si>
    <t>Milk</t>
  </si>
  <si>
    <t>Birch Tree</t>
  </si>
  <si>
    <t>Promo 88</t>
  </si>
  <si>
    <t>Cereal</t>
  </si>
  <si>
    <t>Energen</t>
  </si>
  <si>
    <t>Choco</t>
  </si>
  <si>
    <t>Snowbear</t>
  </si>
  <si>
    <t>Vanilla</t>
  </si>
  <si>
    <t>Great Taste</t>
  </si>
  <si>
    <t>White Twin</t>
  </si>
  <si>
    <t>Fudgee Barr</t>
  </si>
  <si>
    <t>Lava Cake</t>
  </si>
  <si>
    <t>Bavarian</t>
  </si>
  <si>
    <t>Big Choco</t>
  </si>
  <si>
    <t>Dip Cup</t>
  </si>
  <si>
    <t>Love Lips</t>
  </si>
  <si>
    <t>Stik-O</t>
  </si>
  <si>
    <t>Supreme</t>
  </si>
  <si>
    <t>Bulalo</t>
  </si>
  <si>
    <t>Sinigang Sampaloc Orig</t>
  </si>
  <si>
    <t>Cal Cheese</t>
  </si>
  <si>
    <t>Magic Creams</t>
  </si>
  <si>
    <t>Choco jr</t>
  </si>
  <si>
    <t>Condensada jr</t>
  </si>
  <si>
    <t>Mint</t>
  </si>
  <si>
    <t>Nips</t>
  </si>
  <si>
    <t>Ties Choco</t>
  </si>
  <si>
    <t>Cream-O</t>
  </si>
  <si>
    <t>Rebisco</t>
  </si>
  <si>
    <t>Dynamite</t>
  </si>
  <si>
    <t>Mayonnaise</t>
  </si>
  <si>
    <t>Lady's Choice</t>
  </si>
  <si>
    <t>30ml</t>
  </si>
  <si>
    <t>Drinks</t>
  </si>
  <si>
    <t>C2</t>
  </si>
  <si>
    <t>Solo Apple</t>
  </si>
  <si>
    <t>Chuckie</t>
  </si>
  <si>
    <t>180ml</t>
  </si>
  <si>
    <t>Dutchmill</t>
  </si>
  <si>
    <t>Strawberry</t>
  </si>
  <si>
    <t>Milo</t>
  </si>
  <si>
    <t>Cup Bulalo</t>
  </si>
  <si>
    <t>Nescafe</t>
  </si>
  <si>
    <t>Description</t>
  </si>
  <si>
    <t>Pieces</t>
  </si>
  <si>
    <t>Price Category</t>
  </si>
  <si>
    <t>Type of Product</t>
  </si>
  <si>
    <t>Juice</t>
  </si>
  <si>
    <t>Tang</t>
  </si>
  <si>
    <t>Apple</t>
  </si>
  <si>
    <t>1- Whole Price</t>
  </si>
  <si>
    <t>0- Per Piece Price</t>
  </si>
  <si>
    <t>Sakto 60ml</t>
  </si>
  <si>
    <t>Dalandan</t>
  </si>
  <si>
    <t>Mango</t>
  </si>
  <si>
    <t>Breading</t>
  </si>
  <si>
    <t>Tasty Boy Mix 80g</t>
  </si>
  <si>
    <t>Dip</t>
  </si>
  <si>
    <t>Sweet Chili Sauce 90g</t>
  </si>
  <si>
    <t>Oyster Sauce</t>
  </si>
  <si>
    <t>Sarsaya</t>
  </si>
  <si>
    <t>30g</t>
  </si>
  <si>
    <t>Ajinomoto</t>
  </si>
  <si>
    <t>11gx18</t>
  </si>
  <si>
    <t>For Fixed (Original Full Price):</t>
  </si>
  <si>
    <t>Creamer</t>
  </si>
  <si>
    <t>Coffee-Mate</t>
  </si>
  <si>
    <t>5g</t>
  </si>
  <si>
    <t>Tuna</t>
  </si>
  <si>
    <t>San Marino</t>
  </si>
  <si>
    <t>Chili</t>
  </si>
  <si>
    <t>Corned Tuna 100g</t>
  </si>
  <si>
    <t>Century Tuna</t>
  </si>
  <si>
    <t>Flakes</t>
  </si>
  <si>
    <t>Nestea</t>
  </si>
  <si>
    <t>Lemon</t>
  </si>
  <si>
    <t>Alaska</t>
  </si>
  <si>
    <t>Condensed 40gx6</t>
  </si>
  <si>
    <t>Pineapple</t>
  </si>
  <si>
    <t>Tidbits</t>
  </si>
  <si>
    <t>Sardines</t>
  </si>
  <si>
    <t>Mega</t>
  </si>
  <si>
    <t>Red 155g</t>
  </si>
  <si>
    <t>Egg</t>
  </si>
  <si>
    <t>Egg White</t>
  </si>
  <si>
    <t>Jasmine</t>
  </si>
  <si>
    <t>25kl</t>
  </si>
  <si>
    <t>Fixed-Rice</t>
  </si>
  <si>
    <t>Corned Beef</t>
  </si>
  <si>
    <t>Argentina</t>
  </si>
  <si>
    <t>150g</t>
  </si>
  <si>
    <t>Meat Loaf</t>
  </si>
  <si>
    <t>Beans</t>
  </si>
  <si>
    <t>Hunts</t>
  </si>
  <si>
    <t>Pork and Beans</t>
  </si>
  <si>
    <t>Ligo</t>
  </si>
  <si>
    <t>Red</t>
  </si>
  <si>
    <t>Youngstown</t>
  </si>
  <si>
    <t>Spanish</t>
  </si>
  <si>
    <t>Easy Open Green</t>
  </si>
  <si>
    <t>Evaporada 140ml</t>
  </si>
  <si>
    <t>Evaporada 370ml</t>
  </si>
  <si>
    <t>Alcohol</t>
  </si>
  <si>
    <t>Alfonso</t>
  </si>
  <si>
    <t>Light 1l</t>
  </si>
  <si>
    <t>Emperador</t>
  </si>
  <si>
    <t>Light 750ml</t>
  </si>
  <si>
    <t>Big 250</t>
  </si>
  <si>
    <t>Orange</t>
  </si>
  <si>
    <t>Zest-O</t>
  </si>
  <si>
    <t>Choco 200ml</t>
  </si>
  <si>
    <t>Ginebra</t>
  </si>
  <si>
    <t>Round 350ml</t>
  </si>
  <si>
    <t>Frasco 700ml</t>
  </si>
  <si>
    <t>Fixed-Candy</t>
  </si>
  <si>
    <t>Cooking Oil</t>
  </si>
  <si>
    <t>1 Bottle + 100 pcs Plastic</t>
  </si>
  <si>
    <t>Original Twin 10's</t>
  </si>
  <si>
    <t>Onion</t>
  </si>
  <si>
    <t>Garlic</t>
  </si>
  <si>
    <t>Tomato</t>
  </si>
  <si>
    <t>Ginger</t>
  </si>
  <si>
    <t>Creamy White</t>
  </si>
  <si>
    <t>Sugar</t>
  </si>
  <si>
    <t>Sotanghon</t>
  </si>
  <si>
    <t>Vermicelli</t>
  </si>
  <si>
    <t>Bingo</t>
  </si>
  <si>
    <t>Nova</t>
  </si>
  <si>
    <t>Country Cheddar</t>
  </si>
  <si>
    <t>Cheese</t>
  </si>
  <si>
    <t>Crinkles</t>
  </si>
  <si>
    <t>Gummies</t>
  </si>
  <si>
    <t>Clover Bits</t>
  </si>
  <si>
    <t>Taco BBQ</t>
  </si>
  <si>
    <t>Bangus</t>
  </si>
  <si>
    <t>Fish Cracker</t>
  </si>
  <si>
    <t>Big Boy</t>
  </si>
  <si>
    <t>Cracker</t>
  </si>
  <si>
    <t>White</t>
  </si>
  <si>
    <t>Softdrinks</t>
  </si>
  <si>
    <t>Kasalo</t>
  </si>
  <si>
    <t>Coke and Royal</t>
  </si>
  <si>
    <t>8oz</t>
  </si>
  <si>
    <t>Mucho</t>
  </si>
  <si>
    <t>Red Horse</t>
  </si>
  <si>
    <t>San Miguel</t>
  </si>
  <si>
    <t>Light</t>
  </si>
  <si>
    <t>Item ID</t>
  </si>
  <si>
    <t>Date Added</t>
  </si>
  <si>
    <t>Pack Size</t>
  </si>
  <si>
    <t>Total Pieces</t>
  </si>
  <si>
    <t>Purchase Price</t>
  </si>
  <si>
    <t>Unit Type</t>
  </si>
  <si>
    <t>Pack Price</t>
  </si>
  <si>
    <t>Cost %</t>
  </si>
  <si>
    <t>Markup %</t>
  </si>
  <si>
    <t>Fixed Price</t>
  </si>
  <si>
    <t>Original Price</t>
  </si>
  <si>
    <t>Profit per Unit</t>
  </si>
  <si>
    <t>Stock Balance</t>
  </si>
  <si>
    <t>Units Sold</t>
  </si>
  <si>
    <t>Sales Revenue</t>
  </si>
  <si>
    <t>Total Profit</t>
  </si>
  <si>
    <t>Product Pricing Type</t>
  </si>
  <si>
    <t>Profit per Unit:</t>
  </si>
  <si>
    <t>Fixed Price:</t>
  </si>
  <si>
    <t>Pack Price:</t>
  </si>
  <si>
    <t>Item ID:</t>
  </si>
  <si>
    <t>Current</t>
  </si>
  <si>
    <t>Update</t>
  </si>
  <si>
    <t>Spices &amp; Seasonings</t>
  </si>
  <si>
    <t>Pepper</t>
  </si>
  <si>
    <t>Crack</t>
  </si>
  <si>
    <t>Ground</t>
  </si>
  <si>
    <t>Whole</t>
  </si>
  <si>
    <t>Medicine</t>
  </si>
  <si>
    <t>Biogesic</t>
  </si>
  <si>
    <t>500mg</t>
  </si>
  <si>
    <t>Alaxan</t>
  </si>
  <si>
    <t>Xtra FCT</t>
  </si>
  <si>
    <t>Mefenamic</t>
  </si>
  <si>
    <t>Ritemed</t>
  </si>
  <si>
    <t>Imodium</t>
  </si>
  <si>
    <t>8+2</t>
  </si>
  <si>
    <t>Bioflu</t>
  </si>
  <si>
    <t>Diatabs</t>
  </si>
  <si>
    <t>2mg</t>
  </si>
  <si>
    <t>Brown</t>
  </si>
  <si>
    <t>1.59oz</t>
  </si>
  <si>
    <t>Crispy Fry</t>
  </si>
  <si>
    <t>Original 33g</t>
  </si>
  <si>
    <t>Lorins</t>
  </si>
  <si>
    <t>Silver Swan</t>
  </si>
  <si>
    <t>60ml</t>
  </si>
  <si>
    <t>Banana</t>
  </si>
  <si>
    <t>Beef</t>
  </si>
  <si>
    <t>Cigarette</t>
  </si>
  <si>
    <t>Mighty</t>
  </si>
  <si>
    <t>Hotdog</t>
  </si>
  <si>
    <t>Idol</t>
  </si>
  <si>
    <t>Tocino</t>
  </si>
  <si>
    <t>Young Pork</t>
  </si>
  <si>
    <t>Nuggets</t>
  </si>
  <si>
    <t>100's</t>
  </si>
  <si>
    <t>Total Sales Profit</t>
  </si>
  <si>
    <t>Product Availability Status</t>
  </si>
  <si>
    <t>Number of Sold Items</t>
  </si>
  <si>
    <t>ffm162</t>
  </si>
  <si>
    <t>cfm150</t>
  </si>
  <si>
    <t>mfm57</t>
  </si>
  <si>
    <t>BFM89</t>
  </si>
  <si>
    <t>ffm131</t>
  </si>
  <si>
    <t>cfm40</t>
  </si>
  <si>
    <t>cfm155</t>
  </si>
  <si>
    <t>ofm151</t>
  </si>
  <si>
    <t>SFM70</t>
  </si>
  <si>
    <t>sfm66</t>
  </si>
  <si>
    <t>GFM152</t>
  </si>
  <si>
    <t>vfm36</t>
  </si>
  <si>
    <t>jfm125</t>
  </si>
  <si>
    <t>BFM78</t>
  </si>
  <si>
    <t>efm130</t>
  </si>
  <si>
    <t>ffm10</t>
  </si>
  <si>
    <t>ffm74</t>
  </si>
  <si>
    <t>tfm153</t>
  </si>
  <si>
    <t>mfm174</t>
  </si>
  <si>
    <t>CFM150</t>
  </si>
  <si>
    <t>sfm172</t>
  </si>
  <si>
    <t>cfm189</t>
  </si>
  <si>
    <t>nfm194</t>
  </si>
  <si>
    <t>bfm92</t>
  </si>
  <si>
    <t>Gravy</t>
  </si>
  <si>
    <t>Mang Tomas</t>
  </si>
  <si>
    <t>hfm192</t>
  </si>
  <si>
    <t>sfm63</t>
  </si>
  <si>
    <t>sfm167</t>
  </si>
  <si>
    <t>ffm84</t>
  </si>
  <si>
    <t>sfm164</t>
  </si>
  <si>
    <t>sfm165</t>
  </si>
  <si>
    <t>sfm160</t>
  </si>
  <si>
    <t>BFM92</t>
  </si>
  <si>
    <t>jfm124</t>
  </si>
  <si>
    <t>Marlboro</t>
  </si>
  <si>
    <t>Camel</t>
  </si>
  <si>
    <t>Fortune</t>
  </si>
  <si>
    <t>Eloi</t>
  </si>
  <si>
    <t>cfm198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</si>
</sst>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D0D0D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2" fillId="0" borderId="0" xfId="0" applyFont="1"/>
    <xf numFmtId="9" fontId="2" fillId="0" borderId="0" xfId="0" applyNumberFormat="1" applyFont="1"/>
    <xf numFmtId="0" fontId="2" fillId="2" borderId="0" xfId="0" applyFont="1" applyFill="1"/>
    <xf numFmtId="10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center"/>
    </xf>
    <xf numFmtId="0" fontId="4" fillId="3" borderId="8" xfId="0" applyFont="1" applyFill="1" applyBorder="1" applyAlignment="1">
      <alignment horizontal="center" vertical="center" wrapText="1"/>
    </xf>
    <xf numFmtId="14" fontId="4" fillId="3" borderId="9" xfId="0" applyNumberFormat="1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22" fontId="0" fillId="0" borderId="0" xfId="0" applyNumberFormat="1"/>
    <xf numFmtId="22" fontId="4" fillId="3" borderId="14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0" fillId="0" borderId="7" xfId="1" applyNumberFormat="1" applyFon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2">
    <dxf>
      <font>
        <color rgb="FF00B050"/>
      </font>
    </dxf>
    <dxf>
      <font>
        <color rgb="FFFF0000"/>
      </font>
    </dxf>
    <dxf>
      <font>
        <color theme="5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dd/mm/yyyy\ h:mm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300990</xdr:colOff>
      <xdr:row>1</xdr:row>
      <xdr:rowOff>1905</xdr:rowOff>
    </xdr:from>
    <xdr:to>
      <xdr:col>5</xdr:col>
      <xdr:colOff>1552575</xdr:colOff>
      <xdr:row>2</xdr:row>
      <xdr:rowOff>85725</xdr:rowOff>
    </xdr:to>
    <xdr:sp macro="[0]!GoToUpdateInventor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42D00D-2F4A-4BA5-BAE0-29E40E022D44}"/>
            </a:ext>
          </a:extLst>
        </xdr:cNvPr>
        <xdr:cNvSpPr/>
      </xdr:nvSpPr>
      <xdr:spPr>
        <a:xfrm>
          <a:off x="4872990" y="182880"/>
          <a:ext cx="1251585" cy="26479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Update Product</a:t>
          </a:r>
        </a:p>
      </xdr:txBody>
    </xdr:sp>
    <xdr:clientData/>
  </xdr:twoCellAnchor>
  <xdr:twoCellAnchor>
    <xdr:from>
      <xdr:col>4</xdr:col>
      <xdr:colOff>1</xdr:colOff>
      <xdr:row>1</xdr:row>
      <xdr:rowOff>1</xdr:rowOff>
    </xdr:from>
    <xdr:to>
      <xdr:col>5</xdr:col>
      <xdr:colOff>1</xdr:colOff>
      <xdr:row>2</xdr:row>
      <xdr:rowOff>95250</xdr:rowOff>
    </xdr:to>
    <xdr:sp macro="[0]!GoToAdd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FE9F60-54AF-4E04-8270-CC523A0D7C7E}"/>
            </a:ext>
          </a:extLst>
        </xdr:cNvPr>
        <xdr:cNvSpPr/>
      </xdr:nvSpPr>
      <xdr:spPr>
        <a:xfrm>
          <a:off x="3371851" y="180976"/>
          <a:ext cx="1200150" cy="276224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Add Product</a:t>
          </a:r>
        </a:p>
      </xdr:txBody>
    </xdr:sp>
    <xdr:clientData/>
  </xdr:twoCellAnchor>
  <xdr:twoCellAnchor>
    <xdr:from>
      <xdr:col>17</xdr:col>
      <xdr:colOff>133350</xdr:colOff>
      <xdr:row>1</xdr:row>
      <xdr:rowOff>0</xdr:rowOff>
    </xdr:from>
    <xdr:to>
      <xdr:col>18</xdr:col>
      <xdr:colOff>542925</xdr:colOff>
      <xdr:row>4</xdr:row>
      <xdr:rowOff>19050</xdr:rowOff>
    </xdr:to>
    <xdr:sp macro="[0]!AccessRawInvento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46EDC23-FE8E-4EB8-956E-9A3D6526A5E8}"/>
            </a:ext>
          </a:extLst>
        </xdr:cNvPr>
        <xdr:cNvSpPr/>
      </xdr:nvSpPr>
      <xdr:spPr>
        <a:xfrm>
          <a:off x="13449300" y="180975"/>
          <a:ext cx="962025" cy="5619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Access Raw Inventory</a:t>
          </a:r>
        </a:p>
      </xdr:txBody>
    </xdr:sp>
    <xdr:clientData/>
  </xdr:twoCellAnchor>
  <xdr:twoCellAnchor>
    <xdr:from>
      <xdr:col>6</xdr:col>
      <xdr:colOff>104775</xdr:colOff>
      <xdr:row>1</xdr:row>
      <xdr:rowOff>0</xdr:rowOff>
    </xdr:from>
    <xdr:to>
      <xdr:col>8</xdr:col>
      <xdr:colOff>137160</xdr:colOff>
      <xdr:row>2</xdr:row>
      <xdr:rowOff>83820</xdr:rowOff>
    </xdr:to>
    <xdr:sp macro="[0]!GoToSalesInventory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63BB9E9-5D43-4478-BD6C-F26ACDB9AC16}"/>
            </a:ext>
          </a:extLst>
        </xdr:cNvPr>
        <xdr:cNvSpPr/>
      </xdr:nvSpPr>
      <xdr:spPr>
        <a:xfrm>
          <a:off x="6410325" y="180975"/>
          <a:ext cx="1251585" cy="26479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Record Sale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13</xdr:row>
      <xdr:rowOff>0</xdr:rowOff>
    </xdr:from>
    <xdr:to>
      <xdr:col>5</xdr:col>
      <xdr:colOff>228600</xdr:colOff>
      <xdr:row>14</xdr:row>
      <xdr:rowOff>89535</xdr:rowOff>
    </xdr:to>
    <xdr:sp macro="[0]!GoBackRecordSa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AFF1E16-667D-49A5-B2FD-3AFA03082A2F}"/>
            </a:ext>
          </a:extLst>
        </xdr:cNvPr>
        <xdr:cNvSpPr/>
      </xdr:nvSpPr>
      <xdr:spPr>
        <a:xfrm>
          <a:off x="2438400" y="2377440"/>
          <a:ext cx="838200" cy="272415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6</xdr:row>
      <xdr:rowOff>180974</xdr:rowOff>
    </xdr:from>
    <xdr:to>
      <xdr:col>11</xdr:col>
      <xdr:colOff>485774</xdr:colOff>
      <xdr:row>8</xdr:row>
      <xdr:rowOff>171449</xdr:rowOff>
    </xdr:to>
    <xdr:sp macro="[0]!En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6807655-7DC0-4CAA-AD1A-14035BA1FB72}"/>
            </a:ext>
          </a:extLst>
        </xdr:cNvPr>
        <xdr:cNvSpPr/>
      </xdr:nvSpPr>
      <xdr:spPr>
        <a:xfrm>
          <a:off x="6095999" y="1266824"/>
          <a:ext cx="1095375" cy="3524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Enlist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15</xdr:col>
      <xdr:colOff>607695</xdr:colOff>
      <xdr:row>2</xdr:row>
      <xdr:rowOff>85725</xdr:rowOff>
    </xdr:to>
    <xdr:sp macro="[0]!GoToSalesHisto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D578FD4-99DA-4389-96DE-20F1414DDAE7}"/>
            </a:ext>
          </a:extLst>
        </xdr:cNvPr>
        <xdr:cNvSpPr/>
      </xdr:nvSpPr>
      <xdr:spPr>
        <a:xfrm>
          <a:off x="8534400" y="180975"/>
          <a:ext cx="1217295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Sales History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228600</xdr:colOff>
      <xdr:row>11</xdr:row>
      <xdr:rowOff>87630</xdr:rowOff>
    </xdr:to>
    <xdr:sp macro="[0]!GoBackSalesInventory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735911-5311-40A2-BFCA-949D2FA79798}"/>
            </a:ext>
          </a:extLst>
        </xdr:cNvPr>
        <xdr:cNvSpPr/>
      </xdr:nvSpPr>
      <xdr:spPr>
        <a:xfrm>
          <a:off x="6096000" y="1809750"/>
          <a:ext cx="838200" cy="268605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228600</xdr:colOff>
      <xdr:row>2</xdr:row>
      <xdr:rowOff>89535</xdr:rowOff>
    </xdr:to>
    <xdr:sp macro="[0]!GoBackSalesHisto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A5705D-2712-4C70-8DB3-02DA7ED7D1D5}"/>
            </a:ext>
          </a:extLst>
        </xdr:cNvPr>
        <xdr:cNvSpPr/>
      </xdr:nvSpPr>
      <xdr:spPr>
        <a:xfrm>
          <a:off x="10248900" y="365760"/>
          <a:ext cx="838200" cy="272415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7</xdr:col>
      <xdr:colOff>0</xdr:colOff>
      <xdr:row>2</xdr:row>
      <xdr:rowOff>175260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FDA2EED-5EC3-4D43-9CFD-1C3512C5FACD}"/>
            </a:ext>
          </a:extLst>
        </xdr:cNvPr>
        <xdr:cNvSpPr txBox="1"/>
      </xdr:nvSpPr>
      <xdr:spPr>
        <a:xfrm>
          <a:off x="2438400" y="182880"/>
          <a:ext cx="1828800" cy="358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/>
            <a:t>Cigarette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7</xdr:col>
      <xdr:colOff>0</xdr:colOff>
      <xdr:row>5</xdr:row>
      <xdr:rowOff>175260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2DBE89-C629-4DCD-8AE9-F319D376EC2E}"/>
            </a:ext>
          </a:extLst>
        </xdr:cNvPr>
        <xdr:cNvSpPr txBox="1"/>
      </xdr:nvSpPr>
      <xdr:spPr>
        <a:xfrm>
          <a:off x="2072640" y="731520"/>
          <a:ext cx="1828800" cy="358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aseline="0"/>
            <a:t>Eloi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7</xdr:col>
      <xdr:colOff>0</xdr:colOff>
      <xdr:row>8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7FE117-EFF4-4C69-B0AD-F2B6A855779C}"/>
            </a:ext>
          </a:extLst>
        </xdr:cNvPr>
        <xdr:cNvSpPr txBox="1"/>
      </xdr:nvSpPr>
      <xdr:spPr>
        <a:xfrm>
          <a:off x="2072640" y="1280160"/>
          <a:ext cx="1828800" cy="358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aseline="0"/>
            <a:t>White</a:t>
          </a:r>
        </a:p>
      </xdr:txBody>
    </xdr:sp>
    <xdr:clientData/>
  </xdr:twoCellAnchor>
  <xdr:twoCellAnchor>
    <xdr:from>
      <xdr:col>2</xdr:col>
      <xdr:colOff>25400</xdr:colOff>
      <xdr:row>32</xdr:row>
      <xdr:rowOff>0</xdr:rowOff>
    </xdr:from>
    <xdr:to>
      <xdr:col>4</xdr:col>
      <xdr:colOff>592667</xdr:colOff>
      <xdr:row>35</xdr:row>
      <xdr:rowOff>8467</xdr:rowOff>
    </xdr:to>
    <xdr:sp macro="[0]!Module9.AddInventory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10F15F6-958B-E43D-4160-77C3944C0BEA}"/>
            </a:ext>
          </a:extLst>
        </xdr:cNvPr>
        <xdr:cNvSpPr/>
      </xdr:nvSpPr>
      <xdr:spPr>
        <a:xfrm>
          <a:off x="1244600" y="5791200"/>
          <a:ext cx="1424517" cy="551392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Add Inventory</a:t>
          </a:r>
        </a:p>
      </xdr:txBody>
    </xdr:sp>
    <xdr:clientData/>
  </xdr:twoCellAnchor>
  <xdr:twoCellAnchor>
    <xdr:from>
      <xdr:col>2</xdr:col>
      <xdr:colOff>304801</xdr:colOff>
      <xdr:row>35</xdr:row>
      <xdr:rowOff>123825</xdr:rowOff>
    </xdr:from>
    <xdr:to>
      <xdr:col>4</xdr:col>
      <xdr:colOff>323851</xdr:colOff>
      <xdr:row>37</xdr:row>
      <xdr:rowOff>47625</xdr:rowOff>
    </xdr:to>
    <xdr:sp macro="[0]!ClearTextBo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1F8D805-1A21-4FFB-900C-601B00EA1EDD}"/>
            </a:ext>
          </a:extLst>
        </xdr:cNvPr>
        <xdr:cNvSpPr/>
      </xdr:nvSpPr>
      <xdr:spPr>
        <a:xfrm>
          <a:off x="1524001" y="6457950"/>
          <a:ext cx="876300" cy="2857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Clear</a:t>
          </a:r>
          <a:r>
            <a:rPr lang="en-PH" sz="1100" b="1" baseline="0"/>
            <a:t> All</a:t>
          </a: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9</xdr:col>
      <xdr:colOff>1200150</xdr:colOff>
      <xdr:row>33</xdr:row>
      <xdr:rowOff>95249</xdr:rowOff>
    </xdr:to>
    <xdr:sp macro="[0]!GoBackAddInvento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D8C23EF-C29A-43FD-9DA2-4BF034139D40}"/>
            </a:ext>
          </a:extLst>
        </xdr:cNvPr>
        <xdr:cNvSpPr/>
      </xdr:nvSpPr>
      <xdr:spPr>
        <a:xfrm>
          <a:off x="6076950" y="5791200"/>
          <a:ext cx="1200150" cy="276224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27</xdr:row>
      <xdr:rowOff>0</xdr:rowOff>
    </xdr:from>
    <xdr:to>
      <xdr:col>9</xdr:col>
      <xdr:colOff>390526</xdr:colOff>
      <xdr:row>28</xdr:row>
      <xdr:rowOff>171450</xdr:rowOff>
    </xdr:to>
    <xdr:sp macro="[0]!Update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8FB850-9270-43EE-A40A-0E16AA1B1F5A}"/>
            </a:ext>
          </a:extLst>
        </xdr:cNvPr>
        <xdr:cNvSpPr/>
      </xdr:nvSpPr>
      <xdr:spPr>
        <a:xfrm>
          <a:off x="5133975" y="4886325"/>
          <a:ext cx="1609726" cy="3524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Update Inventory</a:t>
          </a:r>
        </a:p>
      </xdr:txBody>
    </xdr:sp>
    <xdr:clientData/>
  </xdr:twoCellAnchor>
  <xdr:twoCellAnchor>
    <xdr:from>
      <xdr:col>7</xdr:col>
      <xdr:colOff>1</xdr:colOff>
      <xdr:row>29</xdr:row>
      <xdr:rowOff>76201</xdr:rowOff>
    </xdr:from>
    <xdr:to>
      <xdr:col>8</xdr:col>
      <xdr:colOff>266701</xdr:colOff>
      <xdr:row>31</xdr:row>
      <xdr:rowOff>1</xdr:rowOff>
    </xdr:to>
    <xdr:sp macro="[0]!ClearTextBoxUpdat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CCB4F22-4031-4F0D-BFD0-475314E29954}"/>
            </a:ext>
          </a:extLst>
        </xdr:cNvPr>
        <xdr:cNvSpPr/>
      </xdr:nvSpPr>
      <xdr:spPr>
        <a:xfrm>
          <a:off x="5133976" y="5324476"/>
          <a:ext cx="876300" cy="2857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Clear</a:t>
          </a:r>
          <a:r>
            <a:rPr lang="en-PH" sz="1100" b="1" baseline="0"/>
            <a:t> All</a:t>
          </a:r>
        </a:p>
      </xdr:txBody>
    </xdr:sp>
    <xdr:clientData/>
  </xdr:twoCellAnchor>
  <xdr:twoCellAnchor>
    <xdr:from>
      <xdr:col>7</xdr:col>
      <xdr:colOff>1</xdr:colOff>
      <xdr:row>33</xdr:row>
      <xdr:rowOff>1</xdr:rowOff>
    </xdr:from>
    <xdr:to>
      <xdr:col>8</xdr:col>
      <xdr:colOff>228601</xdr:colOff>
      <xdr:row>34</xdr:row>
      <xdr:rowOff>91441</xdr:rowOff>
    </xdr:to>
    <xdr:sp macro="[0]!GoBackUpdateInvento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3C6E8FA-C991-437E-8F9E-2A49317FC05F}"/>
            </a:ext>
          </a:extLst>
        </xdr:cNvPr>
        <xdr:cNvSpPr/>
      </xdr:nvSpPr>
      <xdr:spPr>
        <a:xfrm>
          <a:off x="5133976" y="5972176"/>
          <a:ext cx="838200" cy="272415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  <xdr:twoCellAnchor>
    <xdr:from>
      <xdr:col>2</xdr:col>
      <xdr:colOff>247649</xdr:colOff>
      <xdr:row>27</xdr:row>
      <xdr:rowOff>0</xdr:rowOff>
    </xdr:from>
    <xdr:to>
      <xdr:col>5</xdr:col>
      <xdr:colOff>19050</xdr:colOff>
      <xdr:row>28</xdr:row>
      <xdr:rowOff>123825</xdr:rowOff>
    </xdr:to>
    <xdr:sp macro="[0]!DeleteInventor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332CE2-03B6-448C-9815-9CF5174B919A}"/>
            </a:ext>
          </a:extLst>
        </xdr:cNvPr>
        <xdr:cNvSpPr/>
      </xdr:nvSpPr>
      <xdr:spPr>
        <a:xfrm>
          <a:off x="2686049" y="4886325"/>
          <a:ext cx="1257301" cy="3048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Delete Inventory</a:t>
          </a:r>
          <a:endParaRPr lang="en-PH" sz="1100" b="1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0</xdr:rowOff>
    </xdr:from>
    <xdr:to>
      <xdr:col>27</xdr:col>
      <xdr:colOff>590550</xdr:colOff>
      <xdr:row>2</xdr:row>
      <xdr:rowOff>95249</xdr:rowOff>
    </xdr:to>
    <xdr:sp macro="[0]!GoBackInventor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A2CE91-953C-4FC5-9FE3-E421CB0C7207}"/>
            </a:ext>
          </a:extLst>
        </xdr:cNvPr>
        <xdr:cNvSpPr/>
      </xdr:nvSpPr>
      <xdr:spPr>
        <a:xfrm>
          <a:off x="23040975" y="180975"/>
          <a:ext cx="1200150" cy="276224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baseline="0"/>
            <a:t>Go Back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87538-2880-4127-AC51-9B9189251DF7}" name="Table1" displayName="Table1" ref="A1:H1048576" totalsRowShown="0" headerRowDxfId="21" headerRowBorderDxfId="20" tableBorderDxfId="19">
  <autoFilter ref="A1:H1048576" xr:uid="{A0587538-2880-4127-AC51-9B9189251DF7}"/>
  <tableColumns count="8">
    <tableColumn id="1" xr3:uid="{F4CBDE77-632C-4309-A067-2A53CA396A18}" name="Item ID"/>
    <tableColumn id="2" xr3:uid="{0345BB45-DA87-4BC4-BDC9-FA14551382AC}" name="Date Added" dataDxfId="18"/>
    <tableColumn id="3" xr3:uid="{EB75D3D9-80DA-40CA-BD57-435F8F0C8D86}" name="Category"/>
    <tableColumn id="4" xr3:uid="{44B0AAD3-29F0-4C43-A400-CCE051E10684}" name="Brand"/>
    <tableColumn id="5" xr3:uid="{02D41092-95D4-45B5-B876-F02D5DB4E19C}" name="Description"/>
    <tableColumn id="7" xr3:uid="{F078FAC5-CF40-4E86-9F3D-A1B287D94EC3}" name="Total Pieces"/>
    <tableColumn id="8" xr3:uid="{4A41CD37-FFF3-4EA7-9BF7-B47C66B1DD90}" name="Purchase Price"/>
    <tableColumn id="9" xr3:uid="{DE24F739-F460-43E6-B2FA-5E29088E16D1}" name="Profit per Un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963D01-2B8B-4385-AEB1-A54539FF7640}" name="InventoryTable" displayName="InventoryTable" ref="A1:Y990" totalsRowShown="0" headerRowDxfId="17">
  <autoFilter ref="A1:Y990" xr:uid="{BF963D01-2B8B-4385-AEB1-A54539FF7640}"/>
  <tableColumns count="25">
    <tableColumn id="1" xr3:uid="{2D15E56B-A8CB-46F0-8823-1C8AC177E228}" name="Item ID" dataDxfId="16">
      <calculatedColumnFormula>IF(C2="","",_xlfn.CONCAT(LEFT(InventoryTable[[#This Row],[Category]],1),InventoryTable[[#This Row],[Product Pricing Type]],ROW()))</calculatedColumnFormula>
    </tableColumn>
    <tableColumn id="2" xr3:uid="{A5E0F3A2-00D8-4C08-816C-39F7E7E732FE}" name="Date Added" dataDxfId="15"/>
    <tableColumn id="3" xr3:uid="{AAE4FE6B-3AEF-44C1-94CF-2466AE642A20}" name="Category"/>
    <tableColumn id="4" xr3:uid="{1CF3CA74-57F8-4368-9BCE-C688AE291D62}" name="Brand"/>
    <tableColumn id="5" xr3:uid="{F3795956-6932-470B-BDF2-4D4FC394EF2A}" name="Description" dataDxfId="14"/>
    <tableColumn id="6" xr3:uid="{300E8A32-E4A4-4426-B57D-4AAB283B4C86}" name="Pack Size"/>
    <tableColumn id="7" xr3:uid="{C0D46521-4A77-4DDE-BB08-6CBD3879B49F}" name="Pieces"/>
    <tableColumn id="8" xr3:uid="{D1A6704D-451D-4C77-A014-255F67EC1112}" name="Total Pieces">
      <calculatedColumnFormula>IF(C2="","",G2*F2)</calculatedColumnFormula>
    </tableColumn>
    <tableColumn id="9" xr3:uid="{246DA5AC-2564-427C-AC24-0A0B2F387C71}" name="Purchase Price"/>
    <tableColumn id="10" xr3:uid="{1D0410BC-5793-4950-8435-B868666BFAD2}" name="Unit Type"/>
    <tableColumn id="11" xr3:uid="{68FF755A-450A-43F4-9CBD-8C718953C239}" name="Pack Price">
      <calculatedColumnFormula>IF(C2="","",IF(J2=1,I2/H2,I2*G2*F2))</calculatedColumnFormula>
    </tableColumn>
    <tableColumn id="12" xr3:uid="{DE8B56B1-682D-4888-AA0A-A7A5481D3D09}" name="Product Pricing Type" dataDxfId="13"/>
    <tableColumn id="13" xr3:uid="{97F2AA21-C2D1-4746-8071-348798F9E4B4}" name="Cost %" dataDxfId="12"/>
    <tableColumn id="14" xr3:uid="{49C9EEC5-839F-43BE-A80B-ACBCE7DE4B64}" name="Cost Price">
      <calculatedColumnFormula>IF(C2="","",IF(J2=1,K2+(K2*M2),I2+(I2*M2)))</calculatedColumnFormula>
    </tableColumn>
    <tableColumn id="15" xr3:uid="{B3928DCA-0E6C-42E0-8B88-6B31E393E4A3}" name="Markup %" dataDxfId="11"/>
    <tableColumn id="16" xr3:uid="{21E82AFD-A9FD-4FF9-8396-4FD5FA3E0D00}" name="Selling Price">
      <calculatedColumnFormula>IF(C2="","",N2+(N2*O2))</calculatedColumnFormula>
    </tableColumn>
    <tableColumn id="17" xr3:uid="{C24743D1-9D91-45D2-9B44-D8D69369B933}" name="Fixed Price" dataDxfId="10">
      <calculatedColumnFormula>IF(C2="","",ROUNDUP(P2,0))</calculatedColumnFormula>
    </tableColumn>
    <tableColumn id="18" xr3:uid="{5CC05CD1-2959-4DC6-93A9-193724059767}" name="Original Price">
      <calculatedColumnFormula>IF(C2="","")</calculatedColumnFormula>
    </tableColumn>
    <tableColumn id="19" xr3:uid="{2B7ED196-00E7-45F5-8AE3-C24CF805E680}" name="Profit per Unit">
      <calculatedColumnFormula>IF(C2="","",IF(COUNTIF(C2,"*Fixed*")&gt;0,(K2-R2)/H2,IF(J2=1,Q2-K2,Q2-I2)))</calculatedColumnFormula>
    </tableColumn>
    <tableColumn id="24" xr3:uid="{2AFAB21B-D43A-47C1-8ED2-E12CA2F8FC8C}" name="Total Profit" dataDxfId="9">
      <calculatedColumnFormula>IF(C2="","",InventoryTable[[#This Row],[Profit per Unit]]*InventoryTable[[#This Row],[Total Pieces]])</calculatedColumnFormula>
    </tableColumn>
    <tableColumn id="21" xr3:uid="{9C74B40F-78DB-413E-A4B3-2A7364FD0884}" name="Units Sold" dataDxfId="8">
      <calculatedColumnFormula>IF(C2="","",0)</calculatedColumnFormula>
    </tableColumn>
    <tableColumn id="20" xr3:uid="{7F77A374-6C52-48B7-AF7E-636C2D7F028B}" name="Stock Balance" dataDxfId="7">
      <calculatedColumnFormula>IF(C2="","",H2-InventoryTable[[#This Row],[Units Sold]])</calculatedColumnFormula>
    </tableColumn>
    <tableColumn id="22" xr3:uid="{A9FBC6CB-E832-467F-997B-F16F329EBE61}" name="Sales Revenue">
      <calculatedColumnFormula>IF(C2="","",Q2*U2)</calculatedColumnFormula>
    </tableColumn>
    <tableColumn id="23" xr3:uid="{3D0233B1-5407-4422-9758-F6B98D81587B}" name="Total Sales Profit">
      <calculatedColumnFormula>IF(C2="","",S2*U2)</calculatedColumnFormula>
    </tableColumn>
    <tableColumn id="25" xr3:uid="{18F6C671-7C1F-4DE5-B4D1-3F72BC2E9D36}" name="Product Availability Status" dataDxfId="6">
      <calculatedColumnFormula>IF(C2="","",IF(InventoryTable[[#This Row],[Stock Balance]]&lt;=0,"Sold Out",IF((InventoryTable[[#This Row],[Stock Balance]]/InventoryTable[[#This Row],[Total Pieces]])&lt;=0.25,"Low on Stocks","Available")))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671F-2971-43A6-BA9F-2613BB19D438}">
  <sheetPr codeName="Sheet5"/>
  <dimension ref="B2:S203"/>
  <sheetViews>
    <sheetView showGridLines="0" tabSelected="1" zoomScale="80" zoomScaleNormal="80" workbookViewId="0">
      <pane ySplit="7" topLeftCell="A102" activePane="bottomLeft" state="frozen"/>
      <selection pane="bottomLeft" activeCell="P108" sqref="P108"/>
    </sheetView>
  </sheetViews>
  <sheetFormatPr defaultRowHeight="14.4" x14ac:dyDescent="0.3"/>
  <cols>
    <col min="2" max="2" width="8.88671875" style="12"/>
    <col min="3" max="3" width="12.44140625" style="13" customWidth="1"/>
    <col min="4" max="4" width="18.88671875" style="12" customWidth="1"/>
    <col min="5" max="5" width="17.5546875" style="12" customWidth="1"/>
    <col min="6" max="6" width="25.21875" style="12" customWidth="1"/>
    <col min="7" max="8" width="8.88671875" style="12"/>
    <col min="9" max="9" width="9" style="12" customWidth="1"/>
    <col min="10" max="10" width="8.88671875" style="12"/>
    <col min="11" max="11" width="10.33203125" style="12" customWidth="1"/>
    <col min="12" max="12" width="11.77734375" style="11" customWidth="1"/>
    <col min="13" max="14" width="8.88671875" style="12"/>
    <col min="15" max="15" width="8" style="12" bestFit="1" customWidth="1"/>
    <col min="16" max="16" width="9.21875" style="12" bestFit="1" customWidth="1"/>
    <col min="17" max="17" width="9.44140625" style="12" customWidth="1"/>
    <col min="18" max="18" width="8" style="12" bestFit="1" customWidth="1"/>
    <col min="19" max="19" width="16.21875" style="12" customWidth="1"/>
  </cols>
  <sheetData>
    <row r="2" spans="2:19" x14ac:dyDescent="0.3">
      <c r="B2" s="11" t="s">
        <v>324</v>
      </c>
      <c r="C2" s="15" t="s">
        <v>364</v>
      </c>
      <c r="D2"/>
    </row>
    <row r="6" spans="2:19" x14ac:dyDescent="0.3">
      <c r="B6" s="12" t="str">
        <f>IF(C2="","",INDEX(Inventory!A:A,MATCH($C$2,Inventory!$A:$A,0)))</f>
        <v>FFM162</v>
      </c>
      <c r="C6" s="13">
        <f>IF(C2="","",INDEX(Inventory!B:B,MATCH($C$2,Inventory!$A:$A,0)))</f>
        <v>46269</v>
      </c>
      <c r="D6" s="12" t="str">
        <f>IF(C2="","",INDEX(Inventory!C:C,MATCH($C$2,Inventory!$A:$A,0)))</f>
        <v>Fixed-Candy</v>
      </c>
      <c r="E6" s="12" t="str">
        <f>IF(C2="","",INDEX(Inventory!D:D,MATCH($C$2,Inventory!$A:$A,0)))</f>
        <v>Gummies</v>
      </c>
      <c r="F6" s="12" t="str">
        <f>IF(C2="","",INDEX(Inventory!E:E,MATCH($C$2,Inventory!$A:$A,0)))</f>
        <v>Gummies</v>
      </c>
      <c r="G6" s="12">
        <f>IF(C2="","",INDEX(Inventory!F:F,MATCH($C$2,Inventory!$A:$A,0)))</f>
        <v>1</v>
      </c>
      <c r="H6" s="12">
        <f>IF(C2="","",INDEX(Inventory!G:G,MATCH($C$2,Inventory!$A:$A,0)))</f>
        <v>30</v>
      </c>
      <c r="I6" s="12">
        <f>IF(C2="","",INDEX(Inventory!H:H,MATCH($C$2,Inventory!$A:$A,0)))</f>
        <v>30</v>
      </c>
      <c r="J6" s="12">
        <f>IF(C2="","",INDEX(Inventory!I:I,MATCH($C$2,Inventory!$A:$A,0)))</f>
        <v>5</v>
      </c>
      <c r="K6" s="12">
        <f>IF(C2="","",INDEX(Inventory!K:K,MATCH($C$2,Inventory!$A:$A,0)))</f>
        <v>150</v>
      </c>
      <c r="L6" s="11">
        <f>IF(C2="","",INDEX(Inventory!Q:Q,MATCH($C$2,Inventory!$A:$A,0)))</f>
        <v>5</v>
      </c>
      <c r="M6" s="12">
        <f>IF(C2="","",INDEX(Inventory!S:S,MATCH($C$2,Inventory!$A:$A,0)))</f>
        <v>0.6</v>
      </c>
      <c r="N6" s="12">
        <f>IF(C2="","",INDEX(Inventory!T:T,MATCH($C$2,Inventory!$A:$A,0)))</f>
        <v>18</v>
      </c>
      <c r="O6" s="12">
        <f>IF(C2="","",INDEX(Inventory!U:U,MATCH($C$2,Inventory!$A:$A,0)))</f>
        <v>2</v>
      </c>
      <c r="P6" s="12">
        <f>IF(C2="","",INDEX(Inventory!V:V,MATCH($C$2,Inventory!$A:$A,0)))</f>
        <v>28</v>
      </c>
      <c r="Q6" s="12">
        <f>IF(C2="","",INDEX(Inventory!W:W,MATCH($C$2,Inventory!$A:$A,0)))</f>
        <v>10</v>
      </c>
      <c r="R6" s="12">
        <f>IF(C2="","",INDEX(Inventory!X:X,MATCH($C$2,Inventory!$A:$A,0)))</f>
        <v>1.2</v>
      </c>
      <c r="S6" s="12" t="str">
        <f>IF(C2="","",INDEX(Inventory!Y:Y,MATCH($C$2,Inventory!$A:$A,0)))</f>
        <v>Available</v>
      </c>
    </row>
    <row r="7" spans="2:19" s="8" customFormat="1" ht="43.2" x14ac:dyDescent="0.3">
      <c r="B7" s="16" t="s">
        <v>304</v>
      </c>
      <c r="C7" s="17" t="s">
        <v>305</v>
      </c>
      <c r="D7" s="18" t="s">
        <v>4</v>
      </c>
      <c r="E7" s="18" t="s">
        <v>11</v>
      </c>
      <c r="F7" s="18" t="s">
        <v>200</v>
      </c>
      <c r="G7" s="18" t="s">
        <v>306</v>
      </c>
      <c r="H7" s="18" t="s">
        <v>201</v>
      </c>
      <c r="I7" s="18" t="s">
        <v>307</v>
      </c>
      <c r="J7" s="18" t="s">
        <v>308</v>
      </c>
      <c r="K7" s="18" t="s">
        <v>310</v>
      </c>
      <c r="L7" s="18" t="s">
        <v>313</v>
      </c>
      <c r="M7" s="18" t="s">
        <v>315</v>
      </c>
      <c r="N7" s="18" t="s">
        <v>319</v>
      </c>
      <c r="O7" s="18" t="s">
        <v>317</v>
      </c>
      <c r="P7" s="18" t="s">
        <v>316</v>
      </c>
      <c r="Q7" s="18" t="s">
        <v>318</v>
      </c>
      <c r="R7" s="19" t="s">
        <v>361</v>
      </c>
      <c r="S7" s="19" t="s">
        <v>362</v>
      </c>
    </row>
    <row r="8" spans="2:19" x14ac:dyDescent="0.3">
      <c r="B8" s="12" t="str" cm="1">
        <f t="array" ref="B8:B203">_xlfn._xlws.FILTER(InventoryTable[Item ID],InventoryTable[Item ID]&lt;&gt;"")</f>
        <v>PFM2</v>
      </c>
      <c r="C8" s="13" cm="1">
        <f t="array" ref="C8:C203">_xlfn._xlws.FILTER(InventoryTable[Date Added],InventoryTable[Date Added]&lt;&gt;"")</f>
        <v>46271</v>
      </c>
      <c r="D8" s="12" t="str" cm="1">
        <f t="array" ref="D8:D203">_xlfn._xlws.FILTER(InventoryTable[Category],InventoryTable[Category]&lt;&gt;"")</f>
        <v>Pads</v>
      </c>
      <c r="E8" s="12" t="str" cm="1">
        <f t="array" ref="E8:E203">_xlfn._xlws.FILTER(InventoryTable[Brand],InventoryTable[Brand]&lt;&gt;"")</f>
        <v>Those Days</v>
      </c>
      <c r="F8" s="12" t="str" cm="1">
        <f t="array" ref="F8:F203">_xlfn._xlws.FILTER(InventoryTable[Description],InventoryTable[Description]&lt;&gt;"")</f>
        <v>White</v>
      </c>
      <c r="G8" s="12" cm="1">
        <f t="array" ref="G8:G203">_xlfn._xlws.FILTER(InventoryTable[Pack Size],InventoryTable[Pack Size]&lt;&gt;"")</f>
        <v>1</v>
      </c>
      <c r="H8" s="12" cm="1">
        <f t="array" ref="H8:H203">_xlfn._xlws.FILTER(InventoryTable[Pieces],InventoryTable[Pieces]&lt;&gt;"")</f>
        <v>8</v>
      </c>
      <c r="I8" s="12" cm="1">
        <f t="array" ref="I8:I203">_xlfn._xlws.FILTER(InventoryTable[Total Pieces],InventoryTable[Total Pieces]&lt;&gt;"")</f>
        <v>8</v>
      </c>
      <c r="J8" s="12" cm="1">
        <f t="array" ref="J8:J203">_xlfn._xlws.FILTER(InventoryTable[Purchase Price],InventoryTable[Purchase Price]&lt;&gt;"")</f>
        <v>13.7</v>
      </c>
      <c r="K8" s="12" cm="1">
        <f t="array" ref="K8:K203">_xlfn._xlws.FILTER(InventoryTable[Pack Price],InventoryTable[Pack Price]&lt;&gt;"")</f>
        <v>1.7124999999999999</v>
      </c>
      <c r="L8" s="11" cm="1">
        <f t="array" ref="L8:L203">_xlfn._xlws.FILTER(InventoryTable[Fixed Price],InventoryTable[Fixed Price]&lt;&gt;"")</f>
        <v>4</v>
      </c>
      <c r="M8" s="12" cm="1">
        <f t="array" ref="M8:M203">_xlfn._xlws.FILTER(InventoryTable[Profit per Unit],InventoryTable[Profit per Unit]&lt;&gt;"")</f>
        <v>2.2875000000000001</v>
      </c>
      <c r="N8" s="12" cm="1">
        <f t="array" ref="N8:N203">_xlfn._xlws.FILTER(InventoryTable[Total Profit],InventoryTable[Total Profit]&lt;&gt;"")</f>
        <v>18.3</v>
      </c>
      <c r="O8" s="12" cm="1">
        <f t="array" ref="O8:O203">_xlfn._xlws.FILTER(InventoryTable[Units Sold],InventoryTable[Units Sold]&lt;&gt;"")</f>
        <v>0</v>
      </c>
      <c r="P8" s="12" cm="1">
        <f t="array" ref="P8:P203">_xlfn._xlws.FILTER(InventoryTable[Stock Balance],InventoryTable[Stock Balance]&lt;&gt;"")</f>
        <v>8</v>
      </c>
      <c r="Q8" s="12" cm="1">
        <f t="array" ref="Q8:Q203">_xlfn._xlws.FILTER(InventoryTable[Sales Revenue],InventoryTable[Sales Revenue]&lt;&gt;"")</f>
        <v>0</v>
      </c>
      <c r="R8" s="12" cm="1">
        <f t="array" ref="R8:R203">_xlfn._xlws.FILTER(InventoryTable[Total Sales Profit],InventoryTable[Total Sales Profit]&lt;&gt;"")</f>
        <v>0</v>
      </c>
      <c r="S8" s="12" t="str" cm="1">
        <f t="array" ref="S8:S203">_xlfn._xlws.FILTER(InventoryTable[Product Availability Status],InventoryTable[Product Availability Status]&lt;&gt;"")</f>
        <v>Available</v>
      </c>
    </row>
    <row r="9" spans="2:19" x14ac:dyDescent="0.3">
      <c r="B9" s="12" t="str">
        <v>PNF3</v>
      </c>
      <c r="C9" s="13">
        <v>46268</v>
      </c>
      <c r="D9" s="12" t="str">
        <v>Pads</v>
      </c>
      <c r="E9" s="12" t="str">
        <v>Those Days</v>
      </c>
      <c r="F9" s="12" t="str">
        <v>Yellow</v>
      </c>
      <c r="G9" s="12">
        <v>1</v>
      </c>
      <c r="H9" s="12">
        <v>8</v>
      </c>
      <c r="I9" s="12">
        <v>8</v>
      </c>
      <c r="J9" s="12">
        <v>13.05</v>
      </c>
      <c r="K9" s="12">
        <v>1.6312500000000001</v>
      </c>
      <c r="L9" s="11">
        <v>4</v>
      </c>
      <c r="M9" s="12">
        <v>2.3687499999999999</v>
      </c>
      <c r="N9" s="12">
        <v>18.95</v>
      </c>
      <c r="O9" s="12">
        <v>0</v>
      </c>
      <c r="P9" s="12">
        <v>8</v>
      </c>
      <c r="Q9" s="12">
        <v>0</v>
      </c>
      <c r="R9" s="12">
        <v>0</v>
      </c>
      <c r="S9" s="12" t="str">
        <v>Available</v>
      </c>
    </row>
    <row r="10" spans="2:19" x14ac:dyDescent="0.3">
      <c r="B10" s="12" t="str">
        <v>PNF4</v>
      </c>
      <c r="C10" s="13">
        <v>46268</v>
      </c>
      <c r="D10" s="12" t="str">
        <v>Pads</v>
      </c>
      <c r="E10" s="12" t="str">
        <v>Those Days</v>
      </c>
      <c r="F10" s="12" t="str">
        <v>Pink</v>
      </c>
      <c r="G10" s="12">
        <v>1</v>
      </c>
      <c r="H10" s="12">
        <v>8</v>
      </c>
      <c r="I10" s="12">
        <v>8</v>
      </c>
      <c r="J10" s="12">
        <v>16.2</v>
      </c>
      <c r="K10" s="12">
        <v>2.0249999999999999</v>
      </c>
      <c r="L10" s="11">
        <v>4</v>
      </c>
      <c r="M10" s="12">
        <v>1.9750000000000001</v>
      </c>
      <c r="N10" s="12">
        <v>15.8</v>
      </c>
      <c r="O10" s="12">
        <v>0</v>
      </c>
      <c r="P10" s="12">
        <v>8</v>
      </c>
      <c r="Q10" s="12">
        <v>0</v>
      </c>
      <c r="R10" s="12">
        <v>0</v>
      </c>
      <c r="S10" s="12" t="str">
        <v>Available</v>
      </c>
    </row>
    <row r="11" spans="2:19" x14ac:dyDescent="0.3">
      <c r="B11" s="12" t="str">
        <v>PNF5</v>
      </c>
      <c r="C11" s="13">
        <v>46268</v>
      </c>
      <c r="D11" s="12" t="str">
        <v>Pads</v>
      </c>
      <c r="E11" s="12" t="str">
        <v>Charmee</v>
      </c>
      <c r="F11" s="12" t="str">
        <v>with wings</v>
      </c>
      <c r="G11" s="12">
        <v>1</v>
      </c>
      <c r="H11" s="12">
        <v>12</v>
      </c>
      <c r="I11" s="12">
        <v>12</v>
      </c>
      <c r="J11" s="12">
        <v>27</v>
      </c>
      <c r="K11" s="12">
        <v>2.25</v>
      </c>
      <c r="L11" s="11">
        <v>5</v>
      </c>
      <c r="M11" s="12">
        <v>2.75</v>
      </c>
      <c r="N11" s="12">
        <v>33</v>
      </c>
      <c r="O11" s="12">
        <v>0</v>
      </c>
      <c r="P11" s="12">
        <v>12</v>
      </c>
      <c r="Q11" s="12">
        <v>0</v>
      </c>
      <c r="R11" s="12">
        <v>0</v>
      </c>
      <c r="S11" s="12" t="str">
        <v>Available</v>
      </c>
    </row>
    <row r="12" spans="2:19" x14ac:dyDescent="0.3">
      <c r="B12" s="12" t="str">
        <v>PNF6</v>
      </c>
      <c r="C12" s="13">
        <v>46268</v>
      </c>
      <c r="D12" s="12" t="str">
        <v>Pads</v>
      </c>
      <c r="E12" s="12" t="str">
        <v>Modess</v>
      </c>
      <c r="F12" s="12" t="str">
        <v>8+2 Pads</v>
      </c>
      <c r="G12" s="12">
        <v>1</v>
      </c>
      <c r="H12" s="12">
        <v>10</v>
      </c>
      <c r="I12" s="12">
        <v>10</v>
      </c>
      <c r="J12" s="12">
        <v>40.200000000000003</v>
      </c>
      <c r="K12" s="12">
        <v>4.0200000000000005</v>
      </c>
      <c r="L12" s="11">
        <v>7</v>
      </c>
      <c r="M12" s="12">
        <v>2.9799999999999995</v>
      </c>
      <c r="N12" s="12">
        <v>29.799999999999997</v>
      </c>
      <c r="O12" s="12">
        <v>0</v>
      </c>
      <c r="P12" s="12">
        <v>10</v>
      </c>
      <c r="Q12" s="12">
        <v>0</v>
      </c>
      <c r="R12" s="12">
        <v>0</v>
      </c>
      <c r="S12" s="12" t="str">
        <v>Available</v>
      </c>
    </row>
    <row r="13" spans="2:19" x14ac:dyDescent="0.3">
      <c r="B13" s="12" t="str">
        <v>PNF7</v>
      </c>
      <c r="C13" s="13">
        <v>46268</v>
      </c>
      <c r="D13" s="12" t="str">
        <v>Pads</v>
      </c>
      <c r="E13" s="12" t="str">
        <v>Sisters</v>
      </c>
      <c r="F13" s="12" t="str">
        <v>8+1 Pads</v>
      </c>
      <c r="G13" s="12">
        <v>1</v>
      </c>
      <c r="H13" s="12">
        <v>9</v>
      </c>
      <c r="I13" s="12">
        <v>9</v>
      </c>
      <c r="J13" s="12">
        <v>27.75</v>
      </c>
      <c r="K13" s="12">
        <v>3.0833333333333335</v>
      </c>
      <c r="L13" s="11">
        <v>6</v>
      </c>
      <c r="M13" s="12">
        <v>2.9166666666666665</v>
      </c>
      <c r="N13" s="12">
        <v>26.25</v>
      </c>
      <c r="O13" s="12">
        <v>0</v>
      </c>
      <c r="P13" s="12">
        <v>9</v>
      </c>
      <c r="Q13" s="12">
        <v>0</v>
      </c>
      <c r="R13" s="12">
        <v>0</v>
      </c>
      <c r="S13" s="12" t="str">
        <v>Available</v>
      </c>
    </row>
    <row r="14" spans="2:19" x14ac:dyDescent="0.3">
      <c r="B14" s="12" t="str">
        <v>TNF8</v>
      </c>
      <c r="C14" s="13">
        <v>46268</v>
      </c>
      <c r="D14" s="12" t="str">
        <v>Toothbrush</v>
      </c>
      <c r="E14" s="12" t="str">
        <v>Oral-B</v>
      </c>
      <c r="F14" s="12" t="str">
        <v>Shiny Clean</v>
      </c>
      <c r="G14" s="12">
        <v>1</v>
      </c>
      <c r="H14" s="12">
        <v>6</v>
      </c>
      <c r="I14" s="12">
        <v>6</v>
      </c>
      <c r="J14" s="12">
        <v>15</v>
      </c>
      <c r="K14" s="12">
        <v>90</v>
      </c>
      <c r="L14" s="11">
        <v>20</v>
      </c>
      <c r="M14" s="12">
        <v>5</v>
      </c>
      <c r="N14" s="12">
        <v>30</v>
      </c>
      <c r="O14" s="12">
        <v>0</v>
      </c>
      <c r="P14" s="12">
        <v>6</v>
      </c>
      <c r="Q14" s="12">
        <v>0</v>
      </c>
      <c r="R14" s="12">
        <v>0</v>
      </c>
      <c r="S14" s="12" t="str">
        <v>Available</v>
      </c>
    </row>
    <row r="15" spans="2:19" x14ac:dyDescent="0.3">
      <c r="B15" s="12" t="str">
        <v>SFM9</v>
      </c>
      <c r="C15" s="13">
        <v>46268</v>
      </c>
      <c r="D15" s="12" t="str">
        <v>Shampoo</v>
      </c>
      <c r="E15" s="12" t="str">
        <v>Palmolive</v>
      </c>
      <c r="F15" s="12" t="str">
        <v>Pink</v>
      </c>
      <c r="G15" s="12">
        <v>1</v>
      </c>
      <c r="H15" s="12">
        <v>11</v>
      </c>
      <c r="I15" s="12">
        <v>11</v>
      </c>
      <c r="J15" s="12">
        <v>5.85</v>
      </c>
      <c r="K15" s="12">
        <v>64.349999999999994</v>
      </c>
      <c r="L15" s="11">
        <v>8</v>
      </c>
      <c r="M15" s="12">
        <v>2.1500000000000004</v>
      </c>
      <c r="N15" s="12">
        <v>23.650000000000006</v>
      </c>
      <c r="O15" s="12">
        <v>0</v>
      </c>
      <c r="P15" s="12">
        <v>11</v>
      </c>
      <c r="Q15" s="12">
        <v>0</v>
      </c>
      <c r="R15" s="12">
        <v>0</v>
      </c>
      <c r="S15" s="12" t="str">
        <v>Available</v>
      </c>
    </row>
    <row r="16" spans="2:19" x14ac:dyDescent="0.3">
      <c r="B16" s="12" t="str">
        <v>FFM10</v>
      </c>
      <c r="C16" s="13">
        <v>46268</v>
      </c>
      <c r="D16" s="12" t="str">
        <v>Fabric Conditioner</v>
      </c>
      <c r="E16" s="12" t="str">
        <v>Surf</v>
      </c>
      <c r="F16" s="12" t="str">
        <v>Luxe Perfume (Red)</v>
      </c>
      <c r="G16" s="12">
        <v>1</v>
      </c>
      <c r="H16" s="12">
        <v>6</v>
      </c>
      <c r="I16" s="12">
        <v>6</v>
      </c>
      <c r="J16" s="12">
        <v>13.1</v>
      </c>
      <c r="K16" s="12">
        <v>78.599999999999994</v>
      </c>
      <c r="L16" s="11">
        <v>16</v>
      </c>
      <c r="M16" s="12">
        <v>2.9000000000000004</v>
      </c>
      <c r="N16" s="12">
        <v>17.400000000000002</v>
      </c>
      <c r="O16" s="12">
        <v>2</v>
      </c>
      <c r="P16" s="12">
        <v>4</v>
      </c>
      <c r="Q16" s="12">
        <v>32</v>
      </c>
      <c r="R16" s="12">
        <v>5.8000000000000007</v>
      </c>
      <c r="S16" s="12" t="str">
        <v>Available</v>
      </c>
    </row>
    <row r="17" spans="2:19" x14ac:dyDescent="0.3">
      <c r="B17" s="12" t="str">
        <v>FFM11</v>
      </c>
      <c r="C17" s="13">
        <v>46268</v>
      </c>
      <c r="D17" s="12" t="str">
        <v>Fabric Conditioner</v>
      </c>
      <c r="E17" s="12" t="str">
        <v>Surf</v>
      </c>
      <c r="F17" s="12" t="str">
        <v>Blossom Fresh (Pink)</v>
      </c>
      <c r="G17" s="12">
        <v>1</v>
      </c>
      <c r="H17" s="12">
        <v>10</v>
      </c>
      <c r="I17" s="12">
        <v>10</v>
      </c>
      <c r="J17" s="12">
        <v>5.65</v>
      </c>
      <c r="K17" s="12">
        <v>56.5</v>
      </c>
      <c r="L17" s="11">
        <v>8</v>
      </c>
      <c r="M17" s="12">
        <v>2.3499999999999996</v>
      </c>
      <c r="N17" s="12">
        <v>23.499999999999996</v>
      </c>
      <c r="O17" s="12">
        <v>0</v>
      </c>
      <c r="P17" s="12">
        <v>10</v>
      </c>
      <c r="Q17" s="12">
        <v>0</v>
      </c>
      <c r="R17" s="12">
        <v>0</v>
      </c>
      <c r="S17" s="12" t="str">
        <v>Available</v>
      </c>
    </row>
    <row r="18" spans="2:19" x14ac:dyDescent="0.3">
      <c r="B18" s="12" t="str">
        <v>CFM12</v>
      </c>
      <c r="C18" s="13">
        <v>46268</v>
      </c>
      <c r="D18" s="12" t="str">
        <v>Conditioner</v>
      </c>
      <c r="E18" s="12" t="str">
        <v>Cream Silk</v>
      </c>
      <c r="F18" s="12" t="str">
        <v>Standout Straight (Pink)</v>
      </c>
      <c r="G18" s="12">
        <v>1</v>
      </c>
      <c r="H18" s="12">
        <v>12</v>
      </c>
      <c r="I18" s="12">
        <v>12</v>
      </c>
      <c r="J18" s="12">
        <v>69.7</v>
      </c>
      <c r="K18" s="12">
        <v>5.8083333333333336</v>
      </c>
      <c r="L18" s="11">
        <v>8</v>
      </c>
      <c r="M18" s="12">
        <v>2.1916666666666664</v>
      </c>
      <c r="N18" s="12">
        <v>26.299999999999997</v>
      </c>
      <c r="O18" s="12">
        <v>0</v>
      </c>
      <c r="P18" s="12">
        <v>12</v>
      </c>
      <c r="Q18" s="12">
        <v>0</v>
      </c>
      <c r="R18" s="12">
        <v>0</v>
      </c>
      <c r="S18" s="12" t="str">
        <v>Available</v>
      </c>
    </row>
    <row r="19" spans="2:19" x14ac:dyDescent="0.3">
      <c r="B19" s="12" t="str">
        <v>TFM13</v>
      </c>
      <c r="C19" s="13">
        <v>46268</v>
      </c>
      <c r="D19" s="12" t="str">
        <v>Toothpaste</v>
      </c>
      <c r="E19" s="12" t="str">
        <v>Closeup</v>
      </c>
      <c r="F19" s="12" t="str">
        <v>Twin Pack (Red Hot)</v>
      </c>
      <c r="G19" s="12">
        <v>1</v>
      </c>
      <c r="H19" s="12">
        <v>11</v>
      </c>
      <c r="I19" s="12">
        <v>11</v>
      </c>
      <c r="J19" s="12">
        <v>7.9</v>
      </c>
      <c r="K19" s="12">
        <v>86.9</v>
      </c>
      <c r="L19" s="11">
        <v>10</v>
      </c>
      <c r="M19" s="12">
        <v>2.0999999999999996</v>
      </c>
      <c r="N19" s="12">
        <v>23.099999999999994</v>
      </c>
      <c r="O19" s="12">
        <v>0</v>
      </c>
      <c r="P19" s="12">
        <v>11</v>
      </c>
      <c r="Q19" s="12">
        <v>0</v>
      </c>
      <c r="R19" s="12">
        <v>0</v>
      </c>
      <c r="S19" s="12" t="str">
        <v>Available</v>
      </c>
    </row>
    <row r="20" spans="2:19" x14ac:dyDescent="0.3">
      <c r="B20" s="12" t="str">
        <v>TFM14</v>
      </c>
      <c r="C20" s="13">
        <v>46268</v>
      </c>
      <c r="D20" s="12" t="str">
        <v>Toothpaste</v>
      </c>
      <c r="E20" s="12" t="str">
        <v>Closeup</v>
      </c>
      <c r="F20" s="12" t="str">
        <v>Twin Pack - Green (Menthol Fresh)</v>
      </c>
      <c r="G20" s="12">
        <v>1</v>
      </c>
      <c r="H20" s="12">
        <v>11</v>
      </c>
      <c r="I20" s="12">
        <v>11</v>
      </c>
      <c r="J20" s="12">
        <v>7.9</v>
      </c>
      <c r="K20" s="12">
        <v>86.9</v>
      </c>
      <c r="L20" s="11">
        <v>10</v>
      </c>
      <c r="M20" s="12">
        <v>2.0999999999999996</v>
      </c>
      <c r="N20" s="12">
        <v>23.099999999999994</v>
      </c>
      <c r="O20" s="12">
        <v>0</v>
      </c>
      <c r="P20" s="12">
        <v>11</v>
      </c>
      <c r="Q20" s="12">
        <v>0</v>
      </c>
      <c r="R20" s="12">
        <v>0</v>
      </c>
      <c r="S20" s="12" t="str">
        <v>Available</v>
      </c>
    </row>
    <row r="21" spans="2:19" x14ac:dyDescent="0.3">
      <c r="B21" s="12" t="str">
        <v>TFM15</v>
      </c>
      <c r="C21" s="13">
        <v>46268</v>
      </c>
      <c r="D21" s="12" t="str">
        <v>Toothpaste</v>
      </c>
      <c r="E21" s="12" t="str">
        <v>Colgate</v>
      </c>
      <c r="F21" s="12" t="str">
        <v>Regular</v>
      </c>
      <c r="G21" s="12">
        <v>1</v>
      </c>
      <c r="H21" s="12">
        <v>23</v>
      </c>
      <c r="I21" s="12">
        <v>23</v>
      </c>
      <c r="J21" s="12">
        <v>8.4</v>
      </c>
      <c r="K21" s="12">
        <v>193.20000000000002</v>
      </c>
      <c r="L21" s="11">
        <v>11</v>
      </c>
      <c r="M21" s="12">
        <v>2.5999999999999996</v>
      </c>
      <c r="N21" s="12">
        <v>59.79999999999999</v>
      </c>
      <c r="O21" s="12">
        <v>0</v>
      </c>
      <c r="P21" s="12">
        <v>23</v>
      </c>
      <c r="Q21" s="12">
        <v>0</v>
      </c>
      <c r="R21" s="12">
        <v>0</v>
      </c>
      <c r="S21" s="12" t="str">
        <v>Available</v>
      </c>
    </row>
    <row r="22" spans="2:19" x14ac:dyDescent="0.3">
      <c r="B22" s="12" t="str">
        <v>SFM16</v>
      </c>
      <c r="C22" s="13">
        <v>46268</v>
      </c>
      <c r="D22" s="12" t="str">
        <v>Shampoo</v>
      </c>
      <c r="E22" s="12" t="str">
        <v>Sunsilk</v>
      </c>
      <c r="F22" s="12" t="str">
        <v>Pink</v>
      </c>
      <c r="G22" s="12">
        <v>1</v>
      </c>
      <c r="H22" s="12">
        <v>12</v>
      </c>
      <c r="I22" s="12">
        <v>12</v>
      </c>
      <c r="J22" s="12">
        <v>64.349999999999994</v>
      </c>
      <c r="K22" s="12">
        <v>5.3624999999999998</v>
      </c>
      <c r="L22" s="11">
        <v>8</v>
      </c>
      <c r="M22" s="12">
        <v>2.6375000000000002</v>
      </c>
      <c r="N22" s="12">
        <v>31.650000000000002</v>
      </c>
      <c r="O22" s="12">
        <v>0</v>
      </c>
      <c r="P22" s="12">
        <v>12</v>
      </c>
      <c r="Q22" s="12">
        <v>0</v>
      </c>
      <c r="R22" s="12">
        <v>0</v>
      </c>
      <c r="S22" s="12" t="str">
        <v>Available</v>
      </c>
    </row>
    <row r="23" spans="2:19" x14ac:dyDescent="0.3">
      <c r="B23" s="12" t="str">
        <v>SFM17</v>
      </c>
      <c r="C23" s="13">
        <v>46268</v>
      </c>
      <c r="D23" s="12" t="str">
        <v>Shampoo</v>
      </c>
      <c r="E23" s="12" t="str">
        <v>Sunsilk</v>
      </c>
      <c r="F23" s="12" t="str">
        <v>Green</v>
      </c>
      <c r="G23" s="12">
        <v>1</v>
      </c>
      <c r="H23" s="12">
        <v>12</v>
      </c>
      <c r="I23" s="12">
        <v>12</v>
      </c>
      <c r="J23" s="12">
        <v>64.349999999999994</v>
      </c>
      <c r="K23" s="12">
        <v>5.3624999999999998</v>
      </c>
      <c r="L23" s="11">
        <v>8</v>
      </c>
      <c r="M23" s="12">
        <v>2.6375000000000002</v>
      </c>
      <c r="N23" s="12">
        <v>31.650000000000002</v>
      </c>
      <c r="O23" s="12">
        <v>0</v>
      </c>
      <c r="P23" s="12">
        <v>12</v>
      </c>
      <c r="Q23" s="12">
        <v>0</v>
      </c>
      <c r="R23" s="12">
        <v>0</v>
      </c>
      <c r="S23" s="12" t="str">
        <v>Available</v>
      </c>
    </row>
    <row r="24" spans="2:19" x14ac:dyDescent="0.3">
      <c r="B24" s="12" t="str">
        <v>PFM18</v>
      </c>
      <c r="C24" s="13">
        <v>46268</v>
      </c>
      <c r="D24" s="12" t="str">
        <v>Powder</v>
      </c>
      <c r="E24" s="12" t="str">
        <v>Tide</v>
      </c>
      <c r="F24" s="12" t="str">
        <v>with Downy Perfume Fantasy</v>
      </c>
      <c r="G24" s="12">
        <v>2</v>
      </c>
      <c r="H24" s="12">
        <v>6</v>
      </c>
      <c r="I24" s="12">
        <v>12</v>
      </c>
      <c r="J24" s="12">
        <v>19.25</v>
      </c>
      <c r="K24" s="12">
        <v>231</v>
      </c>
      <c r="L24" s="11">
        <v>23</v>
      </c>
      <c r="M24" s="12">
        <v>3.75</v>
      </c>
      <c r="N24" s="12">
        <v>45</v>
      </c>
      <c r="O24" s="12">
        <v>0</v>
      </c>
      <c r="P24" s="12">
        <v>12</v>
      </c>
      <c r="Q24" s="12">
        <v>0</v>
      </c>
      <c r="R24" s="12">
        <v>0</v>
      </c>
      <c r="S24" s="12" t="str">
        <v>Available</v>
      </c>
    </row>
    <row r="25" spans="2:19" x14ac:dyDescent="0.3">
      <c r="B25" s="12" t="str">
        <v>CNF19</v>
      </c>
      <c r="C25" s="13">
        <v>46268</v>
      </c>
      <c r="D25" s="12" t="str">
        <v>Candle</v>
      </c>
      <c r="E25" s="12" t="str">
        <v>Liwanag</v>
      </c>
      <c r="F25" s="12" t="str">
        <v>Esperma Candle</v>
      </c>
      <c r="G25" s="12">
        <v>1</v>
      </c>
      <c r="H25" s="12">
        <v>20</v>
      </c>
      <c r="I25" s="12">
        <v>20</v>
      </c>
      <c r="J25" s="12">
        <v>77.5</v>
      </c>
      <c r="K25" s="12">
        <v>3.875</v>
      </c>
      <c r="L25" s="11">
        <v>6</v>
      </c>
      <c r="M25" s="12">
        <v>2.125</v>
      </c>
      <c r="N25" s="12">
        <v>42.5</v>
      </c>
      <c r="O25" s="12">
        <v>0</v>
      </c>
      <c r="P25" s="12">
        <v>20</v>
      </c>
      <c r="Q25" s="12">
        <v>0</v>
      </c>
      <c r="R25" s="12">
        <v>0</v>
      </c>
      <c r="S25" s="12" t="str">
        <v>Available</v>
      </c>
    </row>
    <row r="26" spans="2:19" x14ac:dyDescent="0.3">
      <c r="B26" s="12" t="str">
        <v>BNF20</v>
      </c>
      <c r="C26" s="13">
        <v>46268</v>
      </c>
      <c r="D26" s="12" t="str">
        <v>Bleach</v>
      </c>
      <c r="E26" s="12" t="str">
        <v>Zonrox</v>
      </c>
      <c r="F26" s="12" t="str">
        <v>Original White</v>
      </c>
      <c r="G26" s="12">
        <v>1</v>
      </c>
      <c r="H26" s="12">
        <v>3</v>
      </c>
      <c r="I26" s="12">
        <v>3</v>
      </c>
      <c r="J26" s="12">
        <v>17.7</v>
      </c>
      <c r="K26" s="12">
        <v>53.099999999999994</v>
      </c>
      <c r="L26" s="11">
        <v>22</v>
      </c>
      <c r="M26" s="12">
        <v>4.3000000000000007</v>
      </c>
      <c r="N26" s="12">
        <v>12.900000000000002</v>
      </c>
      <c r="O26" s="12">
        <v>0</v>
      </c>
      <c r="P26" s="12">
        <v>3</v>
      </c>
      <c r="Q26" s="12">
        <v>0</v>
      </c>
      <c r="R26" s="12">
        <v>0</v>
      </c>
      <c r="S26" s="12" t="str">
        <v>Available</v>
      </c>
    </row>
    <row r="27" spans="2:19" x14ac:dyDescent="0.3">
      <c r="B27" s="12" t="str">
        <v>BNF21</v>
      </c>
      <c r="C27" s="13">
        <v>46268</v>
      </c>
      <c r="D27" s="12" t="str">
        <v>Bleach</v>
      </c>
      <c r="E27" s="12" t="str">
        <v>Zonrox</v>
      </c>
      <c r="F27" s="12" t="str">
        <v>Colored</v>
      </c>
      <c r="G27" s="12">
        <v>1</v>
      </c>
      <c r="H27" s="12">
        <v>3</v>
      </c>
      <c r="I27" s="12">
        <v>3</v>
      </c>
      <c r="J27" s="12">
        <v>28.9</v>
      </c>
      <c r="K27" s="12">
        <v>86.699999999999989</v>
      </c>
      <c r="L27" s="11">
        <v>32</v>
      </c>
      <c r="M27" s="12">
        <v>3.1000000000000014</v>
      </c>
      <c r="N27" s="12">
        <v>9.3000000000000043</v>
      </c>
      <c r="O27" s="12">
        <v>0</v>
      </c>
      <c r="P27" s="12">
        <v>3</v>
      </c>
      <c r="Q27" s="12">
        <v>0</v>
      </c>
      <c r="R27" s="12">
        <v>0</v>
      </c>
      <c r="S27" s="12" t="str">
        <v>Available</v>
      </c>
    </row>
    <row r="28" spans="2:19" x14ac:dyDescent="0.3">
      <c r="B28" s="12" t="str">
        <v>PFM22</v>
      </c>
      <c r="C28" s="13">
        <v>46268</v>
      </c>
      <c r="D28" s="12" t="str">
        <v>Powder</v>
      </c>
      <c r="E28" s="12" t="str">
        <v>Surf</v>
      </c>
      <c r="F28" s="12" t="str">
        <v>Calamansi</v>
      </c>
      <c r="G28" s="12">
        <v>1</v>
      </c>
      <c r="H28" s="12">
        <v>6</v>
      </c>
      <c r="I28" s="12">
        <v>6</v>
      </c>
      <c r="J28" s="12">
        <v>6.85</v>
      </c>
      <c r="K28" s="12">
        <v>41.099999999999994</v>
      </c>
      <c r="L28" s="11">
        <v>9</v>
      </c>
      <c r="M28" s="12">
        <v>2.1500000000000004</v>
      </c>
      <c r="N28" s="12">
        <v>12.900000000000002</v>
      </c>
      <c r="O28" s="12">
        <v>0</v>
      </c>
      <c r="P28" s="12">
        <v>6</v>
      </c>
      <c r="Q28" s="12">
        <v>0</v>
      </c>
      <c r="R28" s="12">
        <v>0</v>
      </c>
      <c r="S28" s="12" t="str">
        <v>Available</v>
      </c>
    </row>
    <row r="29" spans="2:19" x14ac:dyDescent="0.3">
      <c r="B29" s="12" t="str">
        <v>PFM23</v>
      </c>
      <c r="C29" s="13">
        <v>46268</v>
      </c>
      <c r="D29" s="12" t="str">
        <v>Powder</v>
      </c>
      <c r="E29" s="12" t="str">
        <v>Surf</v>
      </c>
      <c r="F29" s="12" t="str">
        <v>Rose Pink</v>
      </c>
      <c r="G29" s="12">
        <v>1</v>
      </c>
      <c r="H29" s="12">
        <v>6</v>
      </c>
      <c r="I29" s="12">
        <v>6</v>
      </c>
      <c r="J29" s="12">
        <v>6.4</v>
      </c>
      <c r="K29" s="12">
        <v>38.400000000000006</v>
      </c>
      <c r="L29" s="11">
        <v>9</v>
      </c>
      <c r="M29" s="12">
        <v>2.5999999999999996</v>
      </c>
      <c r="N29" s="12">
        <v>15.599999999999998</v>
      </c>
      <c r="O29" s="12">
        <v>0</v>
      </c>
      <c r="P29" s="12">
        <v>6</v>
      </c>
      <c r="Q29" s="12">
        <v>0</v>
      </c>
      <c r="R29" s="12">
        <v>0</v>
      </c>
      <c r="S29" s="12" t="str">
        <v>Available</v>
      </c>
    </row>
    <row r="30" spans="2:19" x14ac:dyDescent="0.3">
      <c r="B30" s="12" t="str">
        <v>PFM24</v>
      </c>
      <c r="C30" s="13">
        <v>46268</v>
      </c>
      <c r="D30" s="12" t="str">
        <v>Powder</v>
      </c>
      <c r="E30" s="12" t="str">
        <v>Calla</v>
      </c>
      <c r="F30" s="12" t="str">
        <v>Violet</v>
      </c>
      <c r="G30" s="12">
        <v>1</v>
      </c>
      <c r="H30" s="12">
        <v>6</v>
      </c>
      <c r="I30" s="12">
        <v>6</v>
      </c>
      <c r="J30" s="12">
        <v>13.05</v>
      </c>
      <c r="K30" s="12">
        <v>78.300000000000011</v>
      </c>
      <c r="L30" s="11">
        <v>16</v>
      </c>
      <c r="M30" s="12">
        <v>2.9499999999999993</v>
      </c>
      <c r="N30" s="12">
        <v>17.699999999999996</v>
      </c>
      <c r="O30" s="12">
        <v>0</v>
      </c>
      <c r="P30" s="12">
        <v>6</v>
      </c>
      <c r="Q30" s="12">
        <v>0</v>
      </c>
      <c r="R30" s="12">
        <v>0</v>
      </c>
      <c r="S30" s="12" t="str">
        <v>Available</v>
      </c>
    </row>
    <row r="31" spans="2:19" x14ac:dyDescent="0.3">
      <c r="B31" s="12" t="str">
        <v>SNF25</v>
      </c>
      <c r="C31" s="13">
        <v>46268</v>
      </c>
      <c r="D31" s="12" t="str">
        <v>Soap</v>
      </c>
      <c r="E31" s="12" t="str">
        <v>Silka</v>
      </c>
      <c r="F31" s="12" t="str">
        <v>Papaya</v>
      </c>
      <c r="G31" s="12">
        <v>2</v>
      </c>
      <c r="H31" s="12">
        <v>6</v>
      </c>
      <c r="I31" s="12">
        <v>12</v>
      </c>
      <c r="J31" s="12">
        <v>18.25</v>
      </c>
      <c r="K31" s="12">
        <v>219</v>
      </c>
      <c r="L31" s="11">
        <v>21</v>
      </c>
      <c r="M31" s="12">
        <v>2.75</v>
      </c>
      <c r="N31" s="12">
        <v>33</v>
      </c>
      <c r="O31" s="12">
        <v>0</v>
      </c>
      <c r="P31" s="12">
        <v>12</v>
      </c>
      <c r="Q31" s="12">
        <v>0</v>
      </c>
      <c r="R31" s="12">
        <v>0</v>
      </c>
      <c r="S31" s="12" t="str">
        <v>Available</v>
      </c>
    </row>
    <row r="32" spans="2:19" x14ac:dyDescent="0.3">
      <c r="B32" s="12" t="str">
        <v>SNF26</v>
      </c>
      <c r="C32" s="13">
        <v>46268</v>
      </c>
      <c r="D32" s="12" t="str">
        <v>Soap</v>
      </c>
      <c r="E32" s="12" t="str">
        <v>Safeguard</v>
      </c>
      <c r="F32" s="12" t="str">
        <v>white</v>
      </c>
      <c r="G32" s="12">
        <v>1</v>
      </c>
      <c r="H32" s="12">
        <v>6</v>
      </c>
      <c r="I32" s="12">
        <v>6</v>
      </c>
      <c r="J32" s="12">
        <v>20.3</v>
      </c>
      <c r="K32" s="12">
        <v>121.80000000000001</v>
      </c>
      <c r="L32" s="11">
        <v>25</v>
      </c>
      <c r="M32" s="12">
        <v>4.6999999999999993</v>
      </c>
      <c r="N32" s="12">
        <v>28.199999999999996</v>
      </c>
      <c r="O32" s="12">
        <v>0</v>
      </c>
      <c r="P32" s="12">
        <v>6</v>
      </c>
      <c r="Q32" s="12">
        <v>0</v>
      </c>
      <c r="R32" s="12">
        <v>0</v>
      </c>
      <c r="S32" s="12" t="str">
        <v>Available</v>
      </c>
    </row>
    <row r="33" spans="2:19" x14ac:dyDescent="0.3">
      <c r="B33" s="12" t="str">
        <v>CFM27</v>
      </c>
      <c r="C33" s="13">
        <v>46268</v>
      </c>
      <c r="D33" s="12" t="str">
        <v>Conditioner</v>
      </c>
      <c r="E33" s="12" t="str">
        <v>Pantene</v>
      </c>
      <c r="F33" s="12" t="str">
        <v>Biotin</v>
      </c>
      <c r="G33" s="12">
        <v>1</v>
      </c>
      <c r="H33" s="12">
        <v>11</v>
      </c>
      <c r="I33" s="12">
        <v>11</v>
      </c>
      <c r="J33" s="12">
        <v>7.25</v>
      </c>
      <c r="K33" s="12">
        <v>79.75</v>
      </c>
      <c r="L33" s="11">
        <v>10</v>
      </c>
      <c r="M33" s="12">
        <v>2.75</v>
      </c>
      <c r="N33" s="12">
        <v>30.25</v>
      </c>
      <c r="O33" s="12">
        <v>0</v>
      </c>
      <c r="P33" s="12">
        <v>11</v>
      </c>
      <c r="Q33" s="12">
        <v>0</v>
      </c>
      <c r="R33" s="12">
        <v>0</v>
      </c>
      <c r="S33" s="12" t="str">
        <v>Available</v>
      </c>
    </row>
    <row r="34" spans="2:19" x14ac:dyDescent="0.3">
      <c r="B34" s="12" t="str">
        <v>FFM28</v>
      </c>
      <c r="C34" s="13">
        <v>46268</v>
      </c>
      <c r="D34" s="12" t="str">
        <v>Fabric Conditioner</v>
      </c>
      <c r="E34" s="12" t="str">
        <v>Downy</v>
      </c>
      <c r="F34" s="12" t="str">
        <v>Antibac</v>
      </c>
      <c r="G34" s="12">
        <v>1</v>
      </c>
      <c r="H34" s="12">
        <v>12</v>
      </c>
      <c r="I34" s="12">
        <v>12</v>
      </c>
      <c r="J34" s="12">
        <v>5.85</v>
      </c>
      <c r="K34" s="12">
        <v>70.199999999999989</v>
      </c>
      <c r="L34" s="11">
        <v>8</v>
      </c>
      <c r="M34" s="12">
        <v>2.1500000000000004</v>
      </c>
      <c r="N34" s="12">
        <v>25.800000000000004</v>
      </c>
      <c r="O34" s="12">
        <v>0</v>
      </c>
      <c r="P34" s="12">
        <v>12</v>
      </c>
      <c r="Q34" s="12">
        <v>0</v>
      </c>
      <c r="R34" s="12">
        <v>0</v>
      </c>
      <c r="S34" s="12" t="str">
        <v>Available</v>
      </c>
    </row>
    <row r="35" spans="2:19" x14ac:dyDescent="0.3">
      <c r="B35" s="12" t="str">
        <v>SFM29</v>
      </c>
      <c r="C35" s="13">
        <v>46268</v>
      </c>
      <c r="D35" s="12" t="str">
        <v>Shampoo</v>
      </c>
      <c r="E35" s="12" t="str">
        <v>Pantene</v>
      </c>
      <c r="F35" s="12" t="str">
        <v>Anti-Hairfall</v>
      </c>
      <c r="G35" s="12">
        <v>1</v>
      </c>
      <c r="H35" s="12">
        <v>11</v>
      </c>
      <c r="I35" s="12">
        <v>11</v>
      </c>
      <c r="J35" s="12">
        <v>6.55</v>
      </c>
      <c r="K35" s="12">
        <v>72.05</v>
      </c>
      <c r="L35" s="11">
        <v>8</v>
      </c>
      <c r="M35" s="12">
        <v>1.4500000000000002</v>
      </c>
      <c r="N35" s="12">
        <v>15.950000000000003</v>
      </c>
      <c r="O35" s="12">
        <v>0</v>
      </c>
      <c r="P35" s="12">
        <v>11</v>
      </c>
      <c r="Q35" s="12">
        <v>0</v>
      </c>
      <c r="R35" s="12">
        <v>0</v>
      </c>
      <c r="S35" s="12" t="str">
        <v>Available</v>
      </c>
    </row>
    <row r="36" spans="2:19" x14ac:dyDescent="0.3">
      <c r="B36" s="12" t="str">
        <v>SFM30</v>
      </c>
      <c r="C36" s="13">
        <v>46268</v>
      </c>
      <c r="D36" s="12" t="str">
        <v>Shampoo</v>
      </c>
      <c r="E36" s="12" t="str">
        <v>Pantene</v>
      </c>
      <c r="F36" s="12" t="str">
        <v>Total Damage Care</v>
      </c>
      <c r="G36" s="12">
        <v>1</v>
      </c>
      <c r="H36" s="12">
        <v>11</v>
      </c>
      <c r="I36" s="12">
        <v>11</v>
      </c>
      <c r="J36" s="12">
        <v>6.55</v>
      </c>
      <c r="K36" s="12">
        <v>72.05</v>
      </c>
      <c r="L36" s="11">
        <v>8</v>
      </c>
      <c r="M36" s="12">
        <v>1.4500000000000002</v>
      </c>
      <c r="N36" s="12">
        <v>15.950000000000003</v>
      </c>
      <c r="O36" s="12">
        <v>0</v>
      </c>
      <c r="P36" s="12">
        <v>11</v>
      </c>
      <c r="Q36" s="12">
        <v>0</v>
      </c>
      <c r="R36" s="12">
        <v>0</v>
      </c>
      <c r="S36" s="12" t="str">
        <v>Available</v>
      </c>
    </row>
    <row r="37" spans="2:19" x14ac:dyDescent="0.3">
      <c r="B37" s="12" t="str">
        <v>SFM31</v>
      </c>
      <c r="C37" s="13">
        <v>46268</v>
      </c>
      <c r="D37" s="12" t="str">
        <v>Shampoo</v>
      </c>
      <c r="E37" s="12" t="str">
        <v>Palmolive</v>
      </c>
      <c r="F37" s="12" t="str">
        <v>Violet</v>
      </c>
      <c r="G37" s="12">
        <v>1</v>
      </c>
      <c r="H37" s="12">
        <v>11</v>
      </c>
      <c r="I37" s="12">
        <v>11</v>
      </c>
      <c r="J37" s="12">
        <v>5.85</v>
      </c>
      <c r="K37" s="12">
        <v>64.349999999999994</v>
      </c>
      <c r="L37" s="11">
        <v>8</v>
      </c>
      <c r="M37" s="12">
        <v>2.1500000000000004</v>
      </c>
      <c r="N37" s="12">
        <v>23.650000000000006</v>
      </c>
      <c r="O37" s="12">
        <v>0</v>
      </c>
      <c r="P37" s="12">
        <v>11</v>
      </c>
      <c r="Q37" s="12">
        <v>0</v>
      </c>
      <c r="R37" s="12">
        <v>0</v>
      </c>
      <c r="S37" s="12" t="str">
        <v>Available</v>
      </c>
    </row>
    <row r="38" spans="2:19" x14ac:dyDescent="0.3">
      <c r="B38" s="12" t="str">
        <v>SFM32</v>
      </c>
      <c r="C38" s="13">
        <v>46268</v>
      </c>
      <c r="D38" s="12" t="str">
        <v>Shampoo</v>
      </c>
      <c r="E38" s="12" t="str">
        <v>Head &amp; Shoulders</v>
      </c>
      <c r="F38" s="12" t="str">
        <v>Cool Menthol (Green)</v>
      </c>
      <c r="G38" s="12">
        <v>1</v>
      </c>
      <c r="H38" s="12">
        <v>12</v>
      </c>
      <c r="I38" s="12">
        <v>12</v>
      </c>
      <c r="J38" s="12">
        <v>62.7</v>
      </c>
      <c r="K38" s="12">
        <v>5.2250000000000005</v>
      </c>
      <c r="L38" s="11">
        <v>9</v>
      </c>
      <c r="M38" s="12">
        <v>3.7749999999999995</v>
      </c>
      <c r="N38" s="12">
        <v>45.3</v>
      </c>
      <c r="O38" s="12">
        <v>0</v>
      </c>
      <c r="P38" s="12">
        <v>12</v>
      </c>
      <c r="Q38" s="12">
        <v>0</v>
      </c>
      <c r="R38" s="12">
        <v>0</v>
      </c>
      <c r="S38" s="12" t="str">
        <v>Available</v>
      </c>
    </row>
    <row r="39" spans="2:19" x14ac:dyDescent="0.3">
      <c r="B39" s="12" t="str">
        <v>BNF33</v>
      </c>
      <c r="C39" s="13">
        <v>46268</v>
      </c>
      <c r="D39" s="12" t="str">
        <v>Bar</v>
      </c>
      <c r="E39" s="12" t="str">
        <v>Surf</v>
      </c>
      <c r="F39" s="12" t="str">
        <v>Blossom Fresh (Pink)</v>
      </c>
      <c r="G39" s="12">
        <v>1</v>
      </c>
      <c r="H39" s="12">
        <v>3</v>
      </c>
      <c r="I39" s="12">
        <v>3</v>
      </c>
      <c r="J39" s="12">
        <v>12.5</v>
      </c>
      <c r="K39" s="12">
        <v>37.5</v>
      </c>
      <c r="L39" s="11">
        <v>16</v>
      </c>
      <c r="M39" s="12">
        <v>3.5</v>
      </c>
      <c r="N39" s="12">
        <v>10.5</v>
      </c>
      <c r="O39" s="12">
        <v>0</v>
      </c>
      <c r="P39" s="12">
        <v>3</v>
      </c>
      <c r="Q39" s="12">
        <v>0</v>
      </c>
      <c r="R39" s="12">
        <v>0</v>
      </c>
      <c r="S39" s="12" t="str">
        <v>Available</v>
      </c>
    </row>
    <row r="40" spans="2:19" x14ac:dyDescent="0.3">
      <c r="B40" s="12" t="str">
        <v>BNF34</v>
      </c>
      <c r="C40" s="13">
        <v>46268</v>
      </c>
      <c r="D40" s="12" t="str">
        <v>Bar</v>
      </c>
      <c r="E40" s="12" t="str">
        <v>Surf</v>
      </c>
      <c r="F40" s="12" t="str">
        <v>Tawas (Blue)</v>
      </c>
      <c r="G40" s="12">
        <v>1</v>
      </c>
      <c r="H40" s="12">
        <v>2</v>
      </c>
      <c r="I40" s="12">
        <v>2</v>
      </c>
      <c r="J40" s="12">
        <v>11.75</v>
      </c>
      <c r="K40" s="12">
        <v>23.5</v>
      </c>
      <c r="L40" s="11">
        <v>15</v>
      </c>
      <c r="M40" s="12">
        <v>3.25</v>
      </c>
      <c r="N40" s="12">
        <v>6.5</v>
      </c>
      <c r="O40" s="12">
        <v>0</v>
      </c>
      <c r="P40" s="12">
        <v>2</v>
      </c>
      <c r="Q40" s="12">
        <v>0</v>
      </c>
      <c r="R40" s="12">
        <v>0</v>
      </c>
      <c r="S40" s="12" t="str">
        <v>Available</v>
      </c>
    </row>
    <row r="41" spans="2:19" x14ac:dyDescent="0.3">
      <c r="B41" s="12" t="str">
        <v>SFM35</v>
      </c>
      <c r="C41" s="13">
        <v>46268</v>
      </c>
      <c r="D41" s="12" t="str">
        <v>Soy Sauce</v>
      </c>
      <c r="E41" s="12" t="str">
        <v>Datu Puti</v>
      </c>
      <c r="F41" s="12" t="str">
        <v>200ml</v>
      </c>
      <c r="G41" s="12">
        <v>1</v>
      </c>
      <c r="H41" s="12">
        <v>3</v>
      </c>
      <c r="I41" s="12">
        <v>3</v>
      </c>
      <c r="J41" s="12">
        <v>10.8</v>
      </c>
      <c r="K41" s="12">
        <v>32.400000000000006</v>
      </c>
      <c r="L41" s="11">
        <v>13</v>
      </c>
      <c r="M41" s="12">
        <v>2.1999999999999993</v>
      </c>
      <c r="N41" s="12">
        <v>6.5999999999999979</v>
      </c>
      <c r="O41" s="12">
        <v>0</v>
      </c>
      <c r="P41" s="12">
        <v>3</v>
      </c>
      <c r="Q41" s="12">
        <v>0</v>
      </c>
      <c r="R41" s="12">
        <v>0</v>
      </c>
      <c r="S41" s="12" t="str">
        <v>Available</v>
      </c>
    </row>
    <row r="42" spans="2:19" x14ac:dyDescent="0.3">
      <c r="B42" s="12" t="str">
        <v>VFM36</v>
      </c>
      <c r="C42" s="13">
        <v>46268</v>
      </c>
      <c r="D42" s="12" t="str">
        <v>Vinegar</v>
      </c>
      <c r="E42" s="12" t="str">
        <v>Datu Puti</v>
      </c>
      <c r="F42" s="12" t="str">
        <v>200ml</v>
      </c>
      <c r="G42" s="12">
        <v>1</v>
      </c>
      <c r="H42" s="12">
        <v>3</v>
      </c>
      <c r="I42" s="12">
        <v>3</v>
      </c>
      <c r="J42" s="12">
        <v>8.35</v>
      </c>
      <c r="K42" s="12">
        <v>25.049999999999997</v>
      </c>
      <c r="L42" s="11">
        <v>11</v>
      </c>
      <c r="M42" s="12">
        <v>2.6500000000000004</v>
      </c>
      <c r="N42" s="12">
        <v>7.9500000000000011</v>
      </c>
      <c r="O42" s="12">
        <v>1</v>
      </c>
      <c r="P42" s="12">
        <v>2</v>
      </c>
      <c r="Q42" s="12">
        <v>11</v>
      </c>
      <c r="R42" s="12">
        <v>2.6500000000000004</v>
      </c>
      <c r="S42" s="12" t="str">
        <v>Available</v>
      </c>
    </row>
    <row r="43" spans="2:19" x14ac:dyDescent="0.3">
      <c r="B43" s="12" t="str">
        <v>FFM37</v>
      </c>
      <c r="C43" s="13">
        <v>46268</v>
      </c>
      <c r="D43" s="12" t="str">
        <v>Fish Sauce</v>
      </c>
      <c r="E43" s="12" t="str">
        <v>Datu Puti</v>
      </c>
      <c r="F43" s="12" t="str">
        <v>150ml</v>
      </c>
      <c r="G43" s="12">
        <v>1</v>
      </c>
      <c r="H43" s="12">
        <v>3</v>
      </c>
      <c r="I43" s="12">
        <v>3</v>
      </c>
      <c r="J43" s="12">
        <v>14.4</v>
      </c>
      <c r="K43" s="12">
        <v>43.2</v>
      </c>
      <c r="L43" s="11">
        <v>17</v>
      </c>
      <c r="M43" s="12">
        <v>2.5999999999999996</v>
      </c>
      <c r="N43" s="12">
        <v>7.7999999999999989</v>
      </c>
      <c r="O43" s="12">
        <v>0</v>
      </c>
      <c r="P43" s="12">
        <v>3</v>
      </c>
      <c r="Q43" s="12">
        <v>0</v>
      </c>
      <c r="R43" s="12">
        <v>0</v>
      </c>
      <c r="S43" s="12" t="str">
        <v>Available</v>
      </c>
    </row>
    <row r="44" spans="2:19" x14ac:dyDescent="0.3">
      <c r="B44" s="12" t="str">
        <v>TFM38</v>
      </c>
      <c r="C44" s="13">
        <v>46268</v>
      </c>
      <c r="D44" s="12" t="str">
        <v>Tomato Sauce</v>
      </c>
      <c r="E44" s="12" t="str">
        <v>Del Monte</v>
      </c>
      <c r="F44" s="12" t="str">
        <v>115g</v>
      </c>
      <c r="G44" s="12">
        <v>1</v>
      </c>
      <c r="H44" s="12">
        <v>3</v>
      </c>
      <c r="I44" s="12">
        <v>3</v>
      </c>
      <c r="J44" s="12">
        <v>19</v>
      </c>
      <c r="K44" s="12">
        <v>57</v>
      </c>
      <c r="L44" s="11">
        <v>21</v>
      </c>
      <c r="M44" s="12">
        <v>2</v>
      </c>
      <c r="N44" s="12">
        <v>6</v>
      </c>
      <c r="O44" s="12">
        <v>0</v>
      </c>
      <c r="P44" s="12">
        <v>3</v>
      </c>
      <c r="Q44" s="12">
        <v>0</v>
      </c>
      <c r="R44" s="12">
        <v>0</v>
      </c>
      <c r="S44" s="12" t="str">
        <v>Available</v>
      </c>
    </row>
    <row r="45" spans="2:19" x14ac:dyDescent="0.3">
      <c r="B45" s="12" t="str">
        <v>KFM39</v>
      </c>
      <c r="C45" s="13">
        <v>46268</v>
      </c>
      <c r="D45" s="12" t="str">
        <v>Ketchup</v>
      </c>
      <c r="E45" s="12" t="str">
        <v>UFC</v>
      </c>
      <c r="F45" s="12" t="str">
        <v>200g</v>
      </c>
      <c r="G45" s="12">
        <v>1</v>
      </c>
      <c r="H45" s="12">
        <v>3</v>
      </c>
      <c r="I45" s="12">
        <v>3</v>
      </c>
      <c r="J45" s="12">
        <v>18.7</v>
      </c>
      <c r="K45" s="12">
        <v>56.099999999999994</v>
      </c>
      <c r="L45" s="11">
        <v>21</v>
      </c>
      <c r="M45" s="12">
        <v>2.3000000000000007</v>
      </c>
      <c r="N45" s="12">
        <v>6.9000000000000021</v>
      </c>
      <c r="O45" s="12">
        <v>0</v>
      </c>
      <c r="P45" s="12">
        <v>3</v>
      </c>
      <c r="Q45" s="12">
        <v>0</v>
      </c>
      <c r="R45" s="12">
        <v>0</v>
      </c>
      <c r="S45" s="12" t="str">
        <v>Available</v>
      </c>
    </row>
    <row r="46" spans="2:19" x14ac:dyDescent="0.3">
      <c r="B46" s="12" t="str">
        <v>CFM40</v>
      </c>
      <c r="C46" s="13">
        <v>46268</v>
      </c>
      <c r="D46" s="12" t="str">
        <v>Coffee</v>
      </c>
      <c r="E46" s="12" t="str">
        <v>Kopiko</v>
      </c>
      <c r="F46" s="12" t="str">
        <v>Blanca (Twin Pack)</v>
      </c>
      <c r="G46" s="12">
        <v>2</v>
      </c>
      <c r="H46" s="12">
        <v>10</v>
      </c>
      <c r="I46" s="12">
        <v>20</v>
      </c>
      <c r="J46" s="12">
        <v>12.85</v>
      </c>
      <c r="K46" s="12">
        <v>257</v>
      </c>
      <c r="L46" s="11">
        <v>15</v>
      </c>
      <c r="M46" s="12">
        <v>2.1500000000000004</v>
      </c>
      <c r="N46" s="12">
        <v>43.000000000000007</v>
      </c>
      <c r="O46" s="12">
        <v>1</v>
      </c>
      <c r="P46" s="12">
        <v>19</v>
      </c>
      <c r="Q46" s="12">
        <v>15</v>
      </c>
      <c r="R46" s="12">
        <v>2.1500000000000004</v>
      </c>
      <c r="S46" s="12" t="str">
        <v>Available</v>
      </c>
    </row>
    <row r="47" spans="2:19" x14ac:dyDescent="0.3">
      <c r="B47" s="12" t="str">
        <v>CFM41</v>
      </c>
      <c r="C47" s="13">
        <v>46268</v>
      </c>
      <c r="D47" s="12" t="str">
        <v>Coffee</v>
      </c>
      <c r="E47" s="12" t="str">
        <v>Kopiko</v>
      </c>
      <c r="F47" s="12" t="str">
        <v>Supremo 2g</v>
      </c>
      <c r="G47" s="12">
        <v>2</v>
      </c>
      <c r="H47" s="12">
        <v>12</v>
      </c>
      <c r="I47" s="12">
        <v>24</v>
      </c>
      <c r="J47" s="12">
        <v>37</v>
      </c>
      <c r="K47" s="12">
        <v>1.5416666666666667</v>
      </c>
      <c r="L47" s="11">
        <v>4</v>
      </c>
      <c r="M47" s="12">
        <v>2.458333333333333</v>
      </c>
      <c r="N47" s="12">
        <v>58.999999999999993</v>
      </c>
      <c r="O47" s="12">
        <v>0</v>
      </c>
      <c r="P47" s="12">
        <v>24</v>
      </c>
      <c r="Q47" s="12">
        <v>0</v>
      </c>
      <c r="R47" s="12">
        <v>0</v>
      </c>
      <c r="S47" s="12" t="str">
        <v>Available</v>
      </c>
    </row>
    <row r="48" spans="2:19" x14ac:dyDescent="0.3">
      <c r="B48" s="12" t="str">
        <v>CFM42</v>
      </c>
      <c r="C48" s="13">
        <v>46268</v>
      </c>
      <c r="D48" s="12" t="str">
        <v>Cubes</v>
      </c>
      <c r="E48" s="12" t="str">
        <v>Knorr</v>
      </c>
      <c r="F48" s="12" t="str">
        <v>Pork</v>
      </c>
      <c r="G48" s="12">
        <v>1</v>
      </c>
      <c r="H48" s="12">
        <v>12</v>
      </c>
      <c r="I48" s="12">
        <v>12</v>
      </c>
      <c r="J48" s="12">
        <v>6.15</v>
      </c>
      <c r="K48" s="12">
        <v>73.800000000000011</v>
      </c>
      <c r="L48" s="11">
        <v>9</v>
      </c>
      <c r="M48" s="12">
        <v>2.8499999999999996</v>
      </c>
      <c r="N48" s="12">
        <v>34.199999999999996</v>
      </c>
      <c r="O48" s="12">
        <v>0</v>
      </c>
      <c r="P48" s="12">
        <v>12</v>
      </c>
      <c r="Q48" s="12">
        <v>0</v>
      </c>
      <c r="R48" s="12">
        <v>0</v>
      </c>
      <c r="S48" s="12" t="str">
        <v>Available</v>
      </c>
    </row>
    <row r="49" spans="2:19" x14ac:dyDescent="0.3">
      <c r="B49" s="12" t="str">
        <v>CFM43</v>
      </c>
      <c r="C49" s="13">
        <v>46268</v>
      </c>
      <c r="D49" s="12" t="str">
        <v>Cubes</v>
      </c>
      <c r="E49" s="12" t="str">
        <v>Knorr</v>
      </c>
      <c r="F49" s="12" t="str">
        <v>Chicken</v>
      </c>
      <c r="G49" s="12">
        <v>1</v>
      </c>
      <c r="H49" s="12">
        <v>12</v>
      </c>
      <c r="I49" s="12">
        <v>12</v>
      </c>
      <c r="J49" s="12">
        <v>6.15</v>
      </c>
      <c r="K49" s="12">
        <v>73.800000000000011</v>
      </c>
      <c r="L49" s="11">
        <v>9</v>
      </c>
      <c r="M49" s="12">
        <v>2.8499999999999996</v>
      </c>
      <c r="N49" s="12">
        <v>34.199999999999996</v>
      </c>
      <c r="O49" s="12">
        <v>0</v>
      </c>
      <c r="P49" s="12">
        <v>12</v>
      </c>
      <c r="Q49" s="12">
        <v>0</v>
      </c>
      <c r="R49" s="12">
        <v>0</v>
      </c>
      <c r="S49" s="12" t="str">
        <v>Available</v>
      </c>
    </row>
    <row r="50" spans="2:19" x14ac:dyDescent="0.3">
      <c r="B50" s="12" t="str">
        <v>PFM44</v>
      </c>
      <c r="C50" s="13">
        <v>46268</v>
      </c>
      <c r="D50" s="12" t="str">
        <v>Powdered Milk</v>
      </c>
      <c r="E50" s="12" t="str">
        <v>Bear Brand</v>
      </c>
      <c r="F50" s="12" t="str">
        <v>33g</v>
      </c>
      <c r="G50" s="12">
        <v>1</v>
      </c>
      <c r="H50" s="12">
        <v>24</v>
      </c>
      <c r="I50" s="12">
        <v>24</v>
      </c>
      <c r="J50" s="12">
        <v>11.4</v>
      </c>
      <c r="K50" s="12">
        <v>273.60000000000002</v>
      </c>
      <c r="L50" s="11">
        <v>14</v>
      </c>
      <c r="M50" s="12">
        <v>2.5999999999999996</v>
      </c>
      <c r="N50" s="12">
        <v>62.399999999999991</v>
      </c>
      <c r="O50" s="12">
        <v>0</v>
      </c>
      <c r="P50" s="12">
        <v>24</v>
      </c>
      <c r="Q50" s="12">
        <v>0</v>
      </c>
      <c r="R50" s="12">
        <v>0</v>
      </c>
      <c r="S50" s="12" t="str">
        <v>Available</v>
      </c>
    </row>
    <row r="51" spans="2:19" x14ac:dyDescent="0.3">
      <c r="B51" s="12" t="str">
        <v>NFM45</v>
      </c>
      <c r="C51" s="13">
        <v>46268</v>
      </c>
      <c r="D51" s="12" t="str">
        <v>Noodles</v>
      </c>
      <c r="E51" s="12" t="str">
        <v>Nissin</v>
      </c>
      <c r="F51" s="12" t="str">
        <v>Ramen Seafood</v>
      </c>
      <c r="G51" s="12">
        <v>1</v>
      </c>
      <c r="H51" s="12">
        <v>5</v>
      </c>
      <c r="I51" s="12">
        <v>5</v>
      </c>
      <c r="J51" s="12">
        <v>14.7</v>
      </c>
      <c r="K51" s="12">
        <v>73.5</v>
      </c>
      <c r="L51" s="11">
        <v>17</v>
      </c>
      <c r="M51" s="12">
        <v>2.3000000000000007</v>
      </c>
      <c r="N51" s="12">
        <v>11.500000000000004</v>
      </c>
      <c r="O51" s="12">
        <v>0</v>
      </c>
      <c r="P51" s="12">
        <v>5</v>
      </c>
      <c r="Q51" s="12">
        <v>0</v>
      </c>
      <c r="R51" s="12">
        <v>0</v>
      </c>
      <c r="S51" s="12" t="str">
        <v>Available</v>
      </c>
    </row>
    <row r="52" spans="2:19" x14ac:dyDescent="0.3">
      <c r="B52" s="12" t="str">
        <v>PFM46</v>
      </c>
      <c r="C52" s="13">
        <v>46268</v>
      </c>
      <c r="D52" s="12" t="str">
        <v>Pancit Canton</v>
      </c>
      <c r="E52" s="12" t="str">
        <v>Lucky Me</v>
      </c>
      <c r="F52" s="12" t="str">
        <v>Kasalo Chilimansi</v>
      </c>
      <c r="G52" s="12">
        <v>1</v>
      </c>
      <c r="H52" s="12">
        <v>3</v>
      </c>
      <c r="I52" s="12">
        <v>3</v>
      </c>
      <c r="J52" s="12">
        <v>18.850000000000001</v>
      </c>
      <c r="K52" s="12">
        <v>56.550000000000004</v>
      </c>
      <c r="L52" s="11">
        <v>21</v>
      </c>
      <c r="M52" s="12">
        <v>2.1499999999999986</v>
      </c>
      <c r="N52" s="12">
        <v>6.4499999999999957</v>
      </c>
      <c r="O52" s="12">
        <v>0</v>
      </c>
      <c r="P52" s="12">
        <v>3</v>
      </c>
      <c r="Q52" s="12">
        <v>0</v>
      </c>
      <c r="R52" s="12">
        <v>0</v>
      </c>
      <c r="S52" s="12" t="str">
        <v>Available</v>
      </c>
    </row>
    <row r="53" spans="2:19" x14ac:dyDescent="0.3">
      <c r="B53" s="12" t="str">
        <v>PFM47</v>
      </c>
      <c r="C53" s="13">
        <v>46268</v>
      </c>
      <c r="D53" s="12" t="str">
        <v>Pancit Canton</v>
      </c>
      <c r="E53" s="12" t="str">
        <v>Lucky Me</v>
      </c>
      <c r="F53" s="12" t="str">
        <v>Kasalo Kalamansi</v>
      </c>
      <c r="G53" s="12">
        <v>1</v>
      </c>
      <c r="H53" s="12">
        <v>3</v>
      </c>
      <c r="I53" s="12">
        <v>3</v>
      </c>
      <c r="J53" s="12">
        <v>18.850000000000001</v>
      </c>
      <c r="K53" s="12">
        <v>56.550000000000004</v>
      </c>
      <c r="L53" s="11">
        <v>21</v>
      </c>
      <c r="M53" s="12">
        <v>2.1499999999999986</v>
      </c>
      <c r="N53" s="12">
        <v>6.4499999999999957</v>
      </c>
      <c r="O53" s="12">
        <v>0</v>
      </c>
      <c r="P53" s="12">
        <v>3</v>
      </c>
      <c r="Q53" s="12">
        <v>0</v>
      </c>
      <c r="R53" s="12">
        <v>0</v>
      </c>
      <c r="S53" s="12" t="str">
        <v>Available</v>
      </c>
    </row>
    <row r="54" spans="2:19" x14ac:dyDescent="0.3">
      <c r="B54" s="12" t="str">
        <v>PFM48</v>
      </c>
      <c r="C54" s="13">
        <v>46268</v>
      </c>
      <c r="D54" s="12" t="str">
        <v>Pancit Canton</v>
      </c>
      <c r="E54" s="12" t="str">
        <v>Lucky Me</v>
      </c>
      <c r="F54" s="12" t="str">
        <v>Chilimansi</v>
      </c>
      <c r="G54" s="12">
        <v>1</v>
      </c>
      <c r="H54" s="12">
        <v>5</v>
      </c>
      <c r="I54" s="12">
        <v>5</v>
      </c>
      <c r="J54" s="12">
        <v>14.65</v>
      </c>
      <c r="K54" s="12">
        <v>73.25</v>
      </c>
      <c r="L54" s="11">
        <v>17</v>
      </c>
      <c r="M54" s="12">
        <v>2.3499999999999996</v>
      </c>
      <c r="N54" s="12">
        <v>11.749999999999998</v>
      </c>
      <c r="O54" s="12">
        <v>0</v>
      </c>
      <c r="P54" s="12">
        <v>5</v>
      </c>
      <c r="Q54" s="12">
        <v>0</v>
      </c>
      <c r="R54" s="12">
        <v>0</v>
      </c>
      <c r="S54" s="12" t="str">
        <v>Available</v>
      </c>
    </row>
    <row r="55" spans="2:19" x14ac:dyDescent="0.3">
      <c r="B55" s="12" t="str">
        <v>PFM49</v>
      </c>
      <c r="C55" s="13">
        <v>46268</v>
      </c>
      <c r="D55" s="12" t="str">
        <v>Pancit Canton</v>
      </c>
      <c r="E55" s="12" t="str">
        <v>Lucky Me</v>
      </c>
      <c r="F55" s="12" t="str">
        <v>Sweet and Spicy</v>
      </c>
      <c r="G55" s="12">
        <v>1</v>
      </c>
      <c r="H55" s="12">
        <v>5</v>
      </c>
      <c r="I55" s="12">
        <v>5</v>
      </c>
      <c r="J55" s="12">
        <v>14.65</v>
      </c>
      <c r="K55" s="12">
        <v>73.25</v>
      </c>
      <c r="L55" s="11">
        <v>17</v>
      </c>
      <c r="M55" s="12">
        <v>2.3499999999999996</v>
      </c>
      <c r="N55" s="12">
        <v>11.749999999999998</v>
      </c>
      <c r="O55" s="12">
        <v>0</v>
      </c>
      <c r="P55" s="12">
        <v>5</v>
      </c>
      <c r="Q55" s="12">
        <v>0</v>
      </c>
      <c r="R55" s="12">
        <v>0</v>
      </c>
      <c r="S55" s="12" t="str">
        <v>Available</v>
      </c>
    </row>
    <row r="56" spans="2:19" x14ac:dyDescent="0.3">
      <c r="B56" s="12" t="str">
        <v>PFM50</v>
      </c>
      <c r="C56" s="13">
        <v>46268</v>
      </c>
      <c r="D56" s="12" t="str">
        <v>Pancit Canton</v>
      </c>
      <c r="E56" s="12" t="str">
        <v>Lucky Me</v>
      </c>
      <c r="F56" s="12" t="str">
        <v>Extra Hot</v>
      </c>
      <c r="G56" s="12">
        <v>1</v>
      </c>
      <c r="H56" s="12">
        <v>5</v>
      </c>
      <c r="I56" s="12">
        <v>5</v>
      </c>
      <c r="J56" s="12">
        <v>14.65</v>
      </c>
      <c r="K56" s="12">
        <v>73.25</v>
      </c>
      <c r="L56" s="11">
        <v>17</v>
      </c>
      <c r="M56" s="12">
        <v>2.3499999999999996</v>
      </c>
      <c r="N56" s="12">
        <v>11.749999999999998</v>
      </c>
      <c r="O56" s="12">
        <v>0</v>
      </c>
      <c r="P56" s="12">
        <v>5</v>
      </c>
      <c r="Q56" s="12">
        <v>0</v>
      </c>
      <c r="R56" s="12">
        <v>0</v>
      </c>
      <c r="S56" s="12" t="str">
        <v>Available</v>
      </c>
    </row>
    <row r="57" spans="2:19" x14ac:dyDescent="0.3">
      <c r="B57" s="12" t="str">
        <v>PFM51</v>
      </c>
      <c r="C57" s="13">
        <v>46268</v>
      </c>
      <c r="D57" s="12" t="str">
        <v>Pancit Canton</v>
      </c>
      <c r="E57" s="12" t="str">
        <v>Lucky Me</v>
      </c>
      <c r="F57" s="12" t="str">
        <v>Kalamansi</v>
      </c>
      <c r="G57" s="12">
        <v>1</v>
      </c>
      <c r="H57" s="12">
        <v>5</v>
      </c>
      <c r="I57" s="12">
        <v>5</v>
      </c>
      <c r="J57" s="12">
        <v>14.65</v>
      </c>
      <c r="K57" s="12">
        <v>73.25</v>
      </c>
      <c r="L57" s="11">
        <v>17</v>
      </c>
      <c r="M57" s="12">
        <v>2.3499999999999996</v>
      </c>
      <c r="N57" s="12">
        <v>11.749999999999998</v>
      </c>
      <c r="O57" s="12">
        <v>0</v>
      </c>
      <c r="P57" s="12">
        <v>5</v>
      </c>
      <c r="Q57" s="12">
        <v>0</v>
      </c>
      <c r="R57" s="12">
        <v>0</v>
      </c>
      <c r="S57" s="12" t="str">
        <v>Available</v>
      </c>
    </row>
    <row r="58" spans="2:19" x14ac:dyDescent="0.3">
      <c r="B58" s="12" t="str">
        <v>SFM52</v>
      </c>
      <c r="C58" s="13">
        <v>46268</v>
      </c>
      <c r="D58" s="12" t="str">
        <v>Spread</v>
      </c>
      <c r="E58" s="12" t="str">
        <v>Cheez Whiz</v>
      </c>
      <c r="F58" s="12" t="str">
        <v>24g</v>
      </c>
      <c r="G58" s="12">
        <v>1</v>
      </c>
      <c r="H58" s="12">
        <v>12</v>
      </c>
      <c r="I58" s="12">
        <v>12</v>
      </c>
      <c r="J58" s="12">
        <v>11.9</v>
      </c>
      <c r="K58" s="12">
        <v>142.80000000000001</v>
      </c>
      <c r="L58" s="11">
        <v>14</v>
      </c>
      <c r="M58" s="12">
        <v>2.0999999999999996</v>
      </c>
      <c r="N58" s="12">
        <v>25.199999999999996</v>
      </c>
      <c r="O58" s="12">
        <v>0</v>
      </c>
      <c r="P58" s="12">
        <v>12</v>
      </c>
      <c r="Q58" s="12">
        <v>0</v>
      </c>
      <c r="R58" s="12">
        <v>0</v>
      </c>
      <c r="S58" s="12" t="str">
        <v>Available</v>
      </c>
    </row>
    <row r="59" spans="2:19" x14ac:dyDescent="0.3">
      <c r="B59" s="12" t="str">
        <v>NFM53</v>
      </c>
      <c r="C59" s="13">
        <v>46268</v>
      </c>
      <c r="D59" s="12" t="str">
        <v>Noodles</v>
      </c>
      <c r="E59" s="12" t="str">
        <v>Lucky Me</v>
      </c>
      <c r="F59" s="12" t="str">
        <v>Spicy Chicken</v>
      </c>
      <c r="G59" s="12">
        <v>1</v>
      </c>
      <c r="H59" s="12">
        <v>5</v>
      </c>
      <c r="I59" s="12">
        <v>5</v>
      </c>
      <c r="J59" s="12">
        <v>10.4</v>
      </c>
      <c r="K59" s="12">
        <v>52</v>
      </c>
      <c r="L59" s="11">
        <v>13</v>
      </c>
      <c r="M59" s="12">
        <v>2.5999999999999996</v>
      </c>
      <c r="N59" s="12">
        <v>12.999999999999998</v>
      </c>
      <c r="O59" s="12">
        <v>0</v>
      </c>
      <c r="P59" s="12">
        <v>5</v>
      </c>
      <c r="Q59" s="12">
        <v>0</v>
      </c>
      <c r="R59" s="12">
        <v>0</v>
      </c>
      <c r="S59" s="12" t="str">
        <v>Available</v>
      </c>
    </row>
    <row r="60" spans="2:19" x14ac:dyDescent="0.3">
      <c r="B60" s="12" t="str">
        <v>NFM54</v>
      </c>
      <c r="C60" s="13">
        <v>46268</v>
      </c>
      <c r="D60" s="12" t="str">
        <v>Noodles</v>
      </c>
      <c r="E60" s="12" t="str">
        <v>Lucky Me</v>
      </c>
      <c r="F60" s="12" t="str">
        <v>Chicken na Chicken</v>
      </c>
      <c r="G60" s="12">
        <v>1</v>
      </c>
      <c r="H60" s="12">
        <v>5</v>
      </c>
      <c r="I60" s="12">
        <v>5</v>
      </c>
      <c r="J60" s="12">
        <v>8.9</v>
      </c>
      <c r="K60" s="12">
        <v>44.5</v>
      </c>
      <c r="L60" s="11">
        <v>11</v>
      </c>
      <c r="M60" s="12">
        <v>2.0999999999999996</v>
      </c>
      <c r="N60" s="12">
        <v>10.499999999999998</v>
      </c>
      <c r="O60" s="12">
        <v>0</v>
      </c>
      <c r="P60" s="12">
        <v>5</v>
      </c>
      <c r="Q60" s="12">
        <v>0</v>
      </c>
      <c r="R60" s="12">
        <v>0</v>
      </c>
      <c r="S60" s="12" t="str">
        <v>Available</v>
      </c>
    </row>
    <row r="61" spans="2:19" x14ac:dyDescent="0.3">
      <c r="B61" s="12" t="str">
        <v>NFM55</v>
      </c>
      <c r="C61" s="13">
        <v>46268</v>
      </c>
      <c r="D61" s="12" t="str">
        <v>Noodles</v>
      </c>
      <c r="E61" s="12" t="str">
        <v>Lucky Me</v>
      </c>
      <c r="F61" s="12" t="str">
        <v>Beef na beef</v>
      </c>
      <c r="G61" s="12">
        <v>1</v>
      </c>
      <c r="H61" s="12">
        <v>9</v>
      </c>
      <c r="I61" s="12">
        <v>9</v>
      </c>
      <c r="J61" s="12">
        <v>8.6769230769230763</v>
      </c>
      <c r="K61" s="12">
        <v>78.092307692307685</v>
      </c>
      <c r="L61" s="11">
        <v>11</v>
      </c>
      <c r="M61" s="12">
        <v>2.3230769230769237</v>
      </c>
      <c r="N61" s="12">
        <v>20.907692307692315</v>
      </c>
      <c r="O61" s="12">
        <v>0</v>
      </c>
      <c r="P61" s="12">
        <v>9</v>
      </c>
      <c r="Q61" s="12">
        <v>0</v>
      </c>
      <c r="R61" s="12">
        <v>0</v>
      </c>
      <c r="S61" s="12" t="str">
        <v>Available</v>
      </c>
    </row>
    <row r="62" spans="2:19" x14ac:dyDescent="0.3">
      <c r="B62" s="12" t="str">
        <v>NFM56</v>
      </c>
      <c r="C62" s="13">
        <v>46268</v>
      </c>
      <c r="D62" s="12" t="str">
        <v>Noodles</v>
      </c>
      <c r="E62" s="12" t="str">
        <v>Lucky Me</v>
      </c>
      <c r="F62" s="12" t="str">
        <v>Spicy Beef</v>
      </c>
      <c r="G62" s="12">
        <v>1</v>
      </c>
      <c r="H62" s="12">
        <v>4</v>
      </c>
      <c r="I62" s="12">
        <v>4</v>
      </c>
      <c r="J62" s="12">
        <v>8.6769230769230763</v>
      </c>
      <c r="K62" s="12">
        <v>34.707692307692305</v>
      </c>
      <c r="L62" s="11">
        <v>11</v>
      </c>
      <c r="M62" s="12">
        <v>2.3230769230769237</v>
      </c>
      <c r="N62" s="12">
        <v>9.2923076923076948</v>
      </c>
      <c r="O62" s="12">
        <v>0</v>
      </c>
      <c r="P62" s="12">
        <v>4</v>
      </c>
      <c r="Q62" s="12">
        <v>0</v>
      </c>
      <c r="R62" s="12">
        <v>0</v>
      </c>
      <c r="S62" s="12" t="str">
        <v>Available</v>
      </c>
    </row>
    <row r="63" spans="2:19" x14ac:dyDescent="0.3">
      <c r="B63" s="12" t="str">
        <v>MFM57</v>
      </c>
      <c r="C63" s="13">
        <v>46268</v>
      </c>
      <c r="D63" s="12" t="str">
        <v>MSG</v>
      </c>
      <c r="E63" s="12" t="str">
        <v>Maggi</v>
      </c>
      <c r="F63" s="12" t="str">
        <v>Magic Sarap</v>
      </c>
      <c r="G63" s="12">
        <v>1</v>
      </c>
      <c r="H63" s="12">
        <v>20</v>
      </c>
      <c r="I63" s="12">
        <v>20</v>
      </c>
      <c r="J63" s="12">
        <v>5</v>
      </c>
      <c r="K63" s="12">
        <v>100</v>
      </c>
      <c r="L63" s="11">
        <v>6</v>
      </c>
      <c r="M63" s="12">
        <v>1</v>
      </c>
      <c r="N63" s="12">
        <v>20</v>
      </c>
      <c r="O63" s="12">
        <v>1</v>
      </c>
      <c r="P63" s="12">
        <v>19</v>
      </c>
      <c r="Q63" s="12">
        <v>6</v>
      </c>
      <c r="R63" s="12">
        <v>1</v>
      </c>
      <c r="S63" s="12" t="str">
        <v>Available</v>
      </c>
    </row>
    <row r="64" spans="2:19" x14ac:dyDescent="0.3">
      <c r="B64" s="12" t="str">
        <v>BFM58</v>
      </c>
      <c r="C64" s="13">
        <v>46268</v>
      </c>
      <c r="D64" s="12" t="str">
        <v>Bread</v>
      </c>
      <c r="E64" s="12" t="str">
        <v>Topps</v>
      </c>
      <c r="F64" s="12" t="str">
        <v>Combo</v>
      </c>
      <c r="G64" s="12">
        <v>1</v>
      </c>
      <c r="H64" s="12">
        <v>12</v>
      </c>
      <c r="I64" s="12">
        <v>12</v>
      </c>
      <c r="J64" s="12">
        <v>96</v>
      </c>
      <c r="K64" s="12">
        <v>8</v>
      </c>
      <c r="L64" s="11">
        <v>9</v>
      </c>
      <c r="M64" s="12">
        <v>1</v>
      </c>
      <c r="N64" s="12">
        <v>12</v>
      </c>
      <c r="O64" s="12">
        <v>0</v>
      </c>
      <c r="P64" s="12">
        <v>12</v>
      </c>
      <c r="Q64" s="12">
        <v>0</v>
      </c>
      <c r="R64" s="12">
        <v>0</v>
      </c>
      <c r="S64" s="12" t="str">
        <v>Available</v>
      </c>
    </row>
    <row r="65" spans="2:19" x14ac:dyDescent="0.3">
      <c r="B65" s="12" t="str">
        <v>BFM59</v>
      </c>
      <c r="C65" s="13">
        <v>46268</v>
      </c>
      <c r="D65" s="12" t="str">
        <v>Bread</v>
      </c>
      <c r="E65" s="12" t="str">
        <v>Topps</v>
      </c>
      <c r="F65" s="12" t="str">
        <v>Choco Tops</v>
      </c>
      <c r="G65" s="12">
        <v>1</v>
      </c>
      <c r="H65" s="12">
        <v>10</v>
      </c>
      <c r="I65" s="12">
        <v>10</v>
      </c>
      <c r="J65" s="12">
        <v>80</v>
      </c>
      <c r="K65" s="12">
        <v>8</v>
      </c>
      <c r="L65" s="11">
        <v>9</v>
      </c>
      <c r="M65" s="12">
        <v>1</v>
      </c>
      <c r="N65" s="12">
        <v>10</v>
      </c>
      <c r="O65" s="12">
        <v>0</v>
      </c>
      <c r="P65" s="12">
        <v>10</v>
      </c>
      <c r="Q65" s="12">
        <v>0</v>
      </c>
      <c r="R65" s="12">
        <v>0</v>
      </c>
      <c r="S65" s="12" t="str">
        <v>Available</v>
      </c>
    </row>
    <row r="66" spans="2:19" x14ac:dyDescent="0.3">
      <c r="B66" s="12" t="str">
        <v>SFM60</v>
      </c>
      <c r="C66" s="13">
        <v>46268</v>
      </c>
      <c r="D66" s="12" t="str">
        <v>Snacks</v>
      </c>
      <c r="E66" s="12" t="str">
        <v>Marty's Cracklin'</v>
      </c>
      <c r="F66" s="12" t="str">
        <v>20g</v>
      </c>
      <c r="G66" s="12">
        <v>1</v>
      </c>
      <c r="H66" s="12">
        <v>3</v>
      </c>
      <c r="I66" s="12">
        <v>3</v>
      </c>
      <c r="J66" s="12">
        <v>6.5</v>
      </c>
      <c r="K66" s="12">
        <v>19.5</v>
      </c>
      <c r="L66" s="11">
        <v>8</v>
      </c>
      <c r="M66" s="12">
        <v>1.5</v>
      </c>
      <c r="N66" s="12">
        <v>4.5</v>
      </c>
      <c r="O66" s="12">
        <v>0</v>
      </c>
      <c r="P66" s="12">
        <v>3</v>
      </c>
      <c r="Q66" s="12">
        <v>0</v>
      </c>
      <c r="R66" s="12">
        <v>0</v>
      </c>
      <c r="S66" s="12" t="str">
        <v>Available</v>
      </c>
    </row>
    <row r="67" spans="2:19" x14ac:dyDescent="0.3">
      <c r="B67" s="12" t="str">
        <v>SFM61</v>
      </c>
      <c r="C67" s="13">
        <v>46268</v>
      </c>
      <c r="D67" s="12" t="str">
        <v>Snacks</v>
      </c>
      <c r="E67" s="12" t="str">
        <v>Piattos</v>
      </c>
      <c r="F67" s="12" t="str">
        <v>Roadhaus</v>
      </c>
      <c r="G67" s="12">
        <v>1</v>
      </c>
      <c r="H67" s="12">
        <v>3</v>
      </c>
      <c r="I67" s="12">
        <v>3</v>
      </c>
      <c r="J67" s="12">
        <v>16.3</v>
      </c>
      <c r="K67" s="12">
        <v>48.900000000000006</v>
      </c>
      <c r="L67" s="11">
        <v>18</v>
      </c>
      <c r="M67" s="12">
        <v>1.6999999999999993</v>
      </c>
      <c r="N67" s="12">
        <v>5.0999999999999979</v>
      </c>
      <c r="O67" s="12">
        <v>0</v>
      </c>
      <c r="P67" s="12">
        <v>3</v>
      </c>
      <c r="Q67" s="12">
        <v>0</v>
      </c>
      <c r="R67" s="12">
        <v>0</v>
      </c>
      <c r="S67" s="12" t="str">
        <v>Available</v>
      </c>
    </row>
    <row r="68" spans="2:19" x14ac:dyDescent="0.3">
      <c r="B68" s="12" t="str">
        <v>SFM62</v>
      </c>
      <c r="C68" s="13">
        <v>46268</v>
      </c>
      <c r="D68" s="12" t="str">
        <v>Snacks</v>
      </c>
      <c r="E68" s="12" t="str">
        <v>Marty's Cracklin'</v>
      </c>
      <c r="F68" s="12" t="str">
        <v>Spicy 24g</v>
      </c>
      <c r="G68" s="12">
        <v>1</v>
      </c>
      <c r="H68" s="12">
        <v>3</v>
      </c>
      <c r="I68" s="12">
        <v>3</v>
      </c>
      <c r="J68" s="12">
        <v>6.5</v>
      </c>
      <c r="K68" s="12">
        <v>19.5</v>
      </c>
      <c r="L68" s="11">
        <v>8</v>
      </c>
      <c r="M68" s="12">
        <v>1.5</v>
      </c>
      <c r="N68" s="12">
        <v>4.5</v>
      </c>
      <c r="O68" s="12">
        <v>0</v>
      </c>
      <c r="P68" s="12">
        <v>3</v>
      </c>
      <c r="Q68" s="12">
        <v>0</v>
      </c>
      <c r="R68" s="12">
        <v>0</v>
      </c>
      <c r="S68" s="12" t="str">
        <v>Available</v>
      </c>
    </row>
    <row r="69" spans="2:19" x14ac:dyDescent="0.3">
      <c r="B69" s="12" t="str">
        <v>SFM63</v>
      </c>
      <c r="C69" s="13">
        <v>46268</v>
      </c>
      <c r="D69" s="12" t="str">
        <v>Snacks</v>
      </c>
      <c r="E69" s="12" t="str">
        <v>Roller Coaster</v>
      </c>
      <c r="F69" s="12" t="str">
        <v>Cheddar</v>
      </c>
      <c r="G69" s="12">
        <v>1</v>
      </c>
      <c r="H69" s="12">
        <v>3</v>
      </c>
      <c r="I69" s="12">
        <v>3</v>
      </c>
      <c r="J69" s="12">
        <v>7.4</v>
      </c>
      <c r="K69" s="12">
        <v>22.200000000000003</v>
      </c>
      <c r="L69" s="11">
        <v>9</v>
      </c>
      <c r="M69" s="12">
        <v>1.5999999999999996</v>
      </c>
      <c r="N69" s="12">
        <v>4.7999999999999989</v>
      </c>
      <c r="O69" s="12">
        <v>1</v>
      </c>
      <c r="P69" s="12">
        <v>2</v>
      </c>
      <c r="Q69" s="12">
        <v>9</v>
      </c>
      <c r="R69" s="12">
        <v>1.5999999999999996</v>
      </c>
      <c r="S69" s="12" t="str">
        <v>Available</v>
      </c>
    </row>
    <row r="70" spans="2:19" x14ac:dyDescent="0.3">
      <c r="B70" s="12" t="str">
        <v>SFM64</v>
      </c>
      <c r="C70" s="13">
        <v>46268</v>
      </c>
      <c r="D70" s="12" t="str">
        <v>Snacks</v>
      </c>
      <c r="E70" s="12" t="str">
        <v>Oishi</v>
      </c>
      <c r="F70" s="12" t="str">
        <v>Pillows Ube</v>
      </c>
      <c r="G70" s="12">
        <v>1</v>
      </c>
      <c r="H70" s="12">
        <v>3</v>
      </c>
      <c r="I70" s="12">
        <v>3</v>
      </c>
      <c r="J70" s="12">
        <v>8.75</v>
      </c>
      <c r="K70" s="12">
        <v>26.25</v>
      </c>
      <c r="L70" s="11">
        <v>10</v>
      </c>
      <c r="M70" s="12">
        <v>1.25</v>
      </c>
      <c r="N70" s="12">
        <v>3.75</v>
      </c>
      <c r="O70" s="12">
        <v>0</v>
      </c>
      <c r="P70" s="12">
        <v>3</v>
      </c>
      <c r="Q70" s="12">
        <v>0</v>
      </c>
      <c r="R70" s="12">
        <v>0</v>
      </c>
      <c r="S70" s="12" t="str">
        <v>Available</v>
      </c>
    </row>
    <row r="71" spans="2:19" x14ac:dyDescent="0.3">
      <c r="B71" s="12" t="str">
        <v>SFM65</v>
      </c>
      <c r="C71" s="13">
        <v>46268</v>
      </c>
      <c r="D71" s="12" t="str">
        <v>Snacks</v>
      </c>
      <c r="E71" s="12" t="str">
        <v>Mang Juan</v>
      </c>
      <c r="F71" s="12" t="str">
        <v>Suka</v>
      </c>
      <c r="G71" s="12">
        <v>1</v>
      </c>
      <c r="H71" s="12">
        <v>3</v>
      </c>
      <c r="I71" s="12">
        <v>3</v>
      </c>
      <c r="J71" s="12">
        <v>7.4</v>
      </c>
      <c r="K71" s="12">
        <v>22.200000000000003</v>
      </c>
      <c r="L71" s="11">
        <v>9</v>
      </c>
      <c r="M71" s="12">
        <v>1.5999999999999996</v>
      </c>
      <c r="N71" s="12">
        <v>4.7999999999999989</v>
      </c>
      <c r="O71" s="12">
        <v>0</v>
      </c>
      <c r="P71" s="12">
        <v>3</v>
      </c>
      <c r="Q71" s="12">
        <v>0</v>
      </c>
      <c r="R71" s="12">
        <v>0</v>
      </c>
      <c r="S71" s="12" t="str">
        <v>Available</v>
      </c>
    </row>
    <row r="72" spans="2:19" x14ac:dyDescent="0.3">
      <c r="B72" s="12" t="str">
        <v>SFM66</v>
      </c>
      <c r="C72" s="13">
        <v>46268</v>
      </c>
      <c r="D72" s="12" t="str">
        <v>Snacks</v>
      </c>
      <c r="E72" s="12" t="str">
        <v>Cheese Ring</v>
      </c>
      <c r="F72" s="12" t="str">
        <v>25g</v>
      </c>
      <c r="G72" s="12">
        <v>1</v>
      </c>
      <c r="H72" s="12">
        <v>4</v>
      </c>
      <c r="I72" s="12">
        <v>4</v>
      </c>
      <c r="J72" s="12">
        <v>8.5500000000000007</v>
      </c>
      <c r="K72" s="12">
        <v>34.200000000000003</v>
      </c>
      <c r="L72" s="11">
        <v>10</v>
      </c>
      <c r="M72" s="12">
        <v>1.4499999999999993</v>
      </c>
      <c r="N72" s="12">
        <v>5.7999999999999972</v>
      </c>
      <c r="O72" s="12">
        <v>2</v>
      </c>
      <c r="P72" s="12">
        <v>2</v>
      </c>
      <c r="Q72" s="12">
        <v>20</v>
      </c>
      <c r="R72" s="12">
        <v>2.8999999999999986</v>
      </c>
      <c r="S72" s="12" t="str">
        <v>Available</v>
      </c>
    </row>
    <row r="73" spans="2:19" x14ac:dyDescent="0.3">
      <c r="B73" s="12" t="str">
        <v>SFM67</v>
      </c>
      <c r="C73" s="13">
        <v>46268</v>
      </c>
      <c r="D73" s="12" t="str">
        <v>Snacks</v>
      </c>
      <c r="E73" s="12" t="str">
        <v>Mang Juan</v>
      </c>
      <c r="F73" s="12" t="str">
        <v>Suka't Sili</v>
      </c>
      <c r="G73" s="12">
        <v>1</v>
      </c>
      <c r="H73" s="12">
        <v>3</v>
      </c>
      <c r="I73" s="12">
        <v>3</v>
      </c>
      <c r="J73" s="12">
        <v>7.4</v>
      </c>
      <c r="K73" s="12">
        <v>22.200000000000003</v>
      </c>
      <c r="L73" s="11">
        <v>9</v>
      </c>
      <c r="M73" s="12">
        <v>1.5999999999999996</v>
      </c>
      <c r="N73" s="12">
        <v>4.7999999999999989</v>
      </c>
      <c r="O73" s="12">
        <v>0</v>
      </c>
      <c r="P73" s="12">
        <v>3</v>
      </c>
      <c r="Q73" s="12">
        <v>0</v>
      </c>
      <c r="R73" s="12">
        <v>0</v>
      </c>
      <c r="S73" s="12" t="str">
        <v>Available</v>
      </c>
    </row>
    <row r="74" spans="2:19" x14ac:dyDescent="0.3">
      <c r="B74" s="12" t="str">
        <v>SFM68</v>
      </c>
      <c r="C74" s="13">
        <v>46268</v>
      </c>
      <c r="D74" s="12" t="str">
        <v>Snacks</v>
      </c>
      <c r="E74" s="12" t="str">
        <v>Loaded</v>
      </c>
      <c r="F74" s="12" t="str">
        <v>White 65g</v>
      </c>
      <c r="G74" s="12">
        <v>1</v>
      </c>
      <c r="H74" s="12">
        <v>2</v>
      </c>
      <c r="I74" s="12">
        <v>2</v>
      </c>
      <c r="J74" s="12">
        <v>16</v>
      </c>
      <c r="K74" s="12">
        <v>32</v>
      </c>
      <c r="L74" s="11">
        <v>17</v>
      </c>
      <c r="M74" s="12">
        <v>1</v>
      </c>
      <c r="N74" s="12">
        <v>2</v>
      </c>
      <c r="O74" s="12">
        <v>0</v>
      </c>
      <c r="P74" s="12">
        <v>2</v>
      </c>
      <c r="Q74" s="12">
        <v>0</v>
      </c>
      <c r="R74" s="12">
        <v>0</v>
      </c>
      <c r="S74" s="12" t="str">
        <v>Available</v>
      </c>
    </row>
    <row r="75" spans="2:19" x14ac:dyDescent="0.3">
      <c r="B75" s="12" t="str">
        <v>SFM69</v>
      </c>
      <c r="C75" s="13">
        <v>46268</v>
      </c>
      <c r="D75" s="12" t="str">
        <v>Snacks</v>
      </c>
      <c r="E75" s="12" t="str">
        <v>Loaded</v>
      </c>
      <c r="F75" s="12" t="str">
        <v>White 32g</v>
      </c>
      <c r="G75" s="12">
        <v>1</v>
      </c>
      <c r="H75" s="12">
        <v>4</v>
      </c>
      <c r="I75" s="12">
        <v>4</v>
      </c>
      <c r="J75" s="12">
        <v>8</v>
      </c>
      <c r="K75" s="12">
        <v>32</v>
      </c>
      <c r="L75" s="11">
        <v>9</v>
      </c>
      <c r="M75" s="12">
        <v>1</v>
      </c>
      <c r="N75" s="12">
        <v>4</v>
      </c>
      <c r="O75" s="12">
        <v>0</v>
      </c>
      <c r="P75" s="12">
        <v>4</v>
      </c>
      <c r="Q75" s="12">
        <v>0</v>
      </c>
      <c r="R75" s="12">
        <v>0</v>
      </c>
      <c r="S75" s="12" t="str">
        <v>Available</v>
      </c>
    </row>
    <row r="76" spans="2:19" x14ac:dyDescent="0.3">
      <c r="B76" s="12" t="str">
        <v>SFM70</v>
      </c>
      <c r="C76" s="13">
        <v>46268</v>
      </c>
      <c r="D76" s="12" t="str">
        <v>Snacks</v>
      </c>
      <c r="E76" s="12" t="str">
        <v>Clover</v>
      </c>
      <c r="F76" s="12" t="str">
        <v>Chips</v>
      </c>
      <c r="G76" s="12">
        <v>1</v>
      </c>
      <c r="H76" s="12">
        <v>6</v>
      </c>
      <c r="I76" s="12">
        <v>6</v>
      </c>
      <c r="J76" s="12">
        <v>7.95</v>
      </c>
      <c r="K76" s="12">
        <v>47.7</v>
      </c>
      <c r="L76" s="11">
        <v>9</v>
      </c>
      <c r="M76" s="12">
        <v>1.0499999999999998</v>
      </c>
      <c r="N76" s="12">
        <v>6.2999999999999989</v>
      </c>
      <c r="O76" s="12">
        <v>1</v>
      </c>
      <c r="P76" s="12">
        <v>5</v>
      </c>
      <c r="Q76" s="12">
        <v>9</v>
      </c>
      <c r="R76" s="12">
        <v>1.0499999999999998</v>
      </c>
      <c r="S76" s="12" t="str">
        <v>Available</v>
      </c>
    </row>
    <row r="77" spans="2:19" x14ac:dyDescent="0.3">
      <c r="B77" s="12" t="str">
        <v>SFM71</v>
      </c>
      <c r="C77" s="13">
        <v>46268</v>
      </c>
      <c r="D77" s="12" t="str">
        <v>Snacks</v>
      </c>
      <c r="E77" s="12" t="str">
        <v>Loaded</v>
      </c>
      <c r="F77" s="12" t="str">
        <v>Choco 32g</v>
      </c>
      <c r="G77" s="12">
        <v>1</v>
      </c>
      <c r="H77" s="12">
        <v>4</v>
      </c>
      <c r="I77" s="12">
        <v>4</v>
      </c>
      <c r="J77" s="12">
        <v>8</v>
      </c>
      <c r="K77" s="12">
        <v>32</v>
      </c>
      <c r="L77" s="11">
        <v>9</v>
      </c>
      <c r="M77" s="12">
        <v>1</v>
      </c>
      <c r="N77" s="12">
        <v>4</v>
      </c>
      <c r="O77" s="12">
        <v>0</v>
      </c>
      <c r="P77" s="12">
        <v>4</v>
      </c>
      <c r="Q77" s="12">
        <v>0</v>
      </c>
      <c r="R77" s="12">
        <v>0</v>
      </c>
      <c r="S77" s="12" t="str">
        <v>Available</v>
      </c>
    </row>
    <row r="78" spans="2:19" x14ac:dyDescent="0.3">
      <c r="B78" s="12" t="str">
        <v>SFM72</v>
      </c>
      <c r="C78" s="13">
        <v>46268</v>
      </c>
      <c r="D78" s="12" t="str">
        <v>Snacks</v>
      </c>
      <c r="E78" s="12" t="str">
        <v>Happy</v>
      </c>
      <c r="F78" s="12" t="str">
        <v>Nut Reg</v>
      </c>
      <c r="G78" s="12">
        <v>2</v>
      </c>
      <c r="H78" s="12">
        <v>20</v>
      </c>
      <c r="I78" s="12">
        <v>40</v>
      </c>
      <c r="J78" s="12">
        <v>41</v>
      </c>
      <c r="K78" s="12">
        <v>1.0249999999999999</v>
      </c>
      <c r="L78" s="11">
        <v>2</v>
      </c>
      <c r="M78" s="12">
        <v>0.97500000000000009</v>
      </c>
      <c r="N78" s="12">
        <v>39</v>
      </c>
      <c r="O78" s="12">
        <v>0</v>
      </c>
      <c r="P78" s="12">
        <v>40</v>
      </c>
      <c r="Q78" s="12">
        <v>0</v>
      </c>
      <c r="R78" s="12">
        <v>0</v>
      </c>
      <c r="S78" s="12" t="str">
        <v>Available</v>
      </c>
    </row>
    <row r="79" spans="2:19" x14ac:dyDescent="0.3">
      <c r="B79" s="12" t="str">
        <v>FFM73</v>
      </c>
      <c r="C79" s="13">
        <v>46268</v>
      </c>
      <c r="D79" s="12" t="str">
        <v>Fixed-Candy</v>
      </c>
      <c r="E79" s="12" t="str">
        <v>Mentos</v>
      </c>
      <c r="F79" s="12" t="str">
        <v>Fruit 100's</v>
      </c>
      <c r="G79" s="12">
        <v>1</v>
      </c>
      <c r="H79" s="12">
        <v>33</v>
      </c>
      <c r="I79" s="12">
        <v>33</v>
      </c>
      <c r="J79" s="12">
        <v>5</v>
      </c>
      <c r="K79" s="12">
        <v>165</v>
      </c>
      <c r="L79" s="11">
        <v>5</v>
      </c>
      <c r="M79" s="12">
        <v>2.9393939393939394</v>
      </c>
      <c r="N79" s="12">
        <v>97</v>
      </c>
      <c r="O79" s="12">
        <v>0</v>
      </c>
      <c r="P79" s="12">
        <v>33</v>
      </c>
      <c r="Q79" s="12">
        <v>0</v>
      </c>
      <c r="R79" s="12">
        <v>0</v>
      </c>
      <c r="S79" s="12" t="str">
        <v>Available</v>
      </c>
    </row>
    <row r="80" spans="2:19" x14ac:dyDescent="0.3">
      <c r="B80" s="12" t="str">
        <v>FFM74</v>
      </c>
      <c r="C80" s="13">
        <v>46268</v>
      </c>
      <c r="D80" s="12" t="str">
        <v>Fixed-Candy</v>
      </c>
      <c r="E80" s="12" t="str">
        <v>Kopiko</v>
      </c>
      <c r="F80" s="12" t="str">
        <v>Coffee</v>
      </c>
      <c r="G80" s="12">
        <v>2</v>
      </c>
      <c r="H80" s="12">
        <v>33</v>
      </c>
      <c r="I80" s="12">
        <v>66</v>
      </c>
      <c r="J80" s="12">
        <v>5</v>
      </c>
      <c r="K80" s="12">
        <v>330</v>
      </c>
      <c r="L80" s="11">
        <v>5</v>
      </c>
      <c r="M80" s="12">
        <v>3.7878787878787881</v>
      </c>
      <c r="N80" s="12">
        <v>250</v>
      </c>
      <c r="O80" s="12">
        <v>1</v>
      </c>
      <c r="P80" s="12">
        <v>65</v>
      </c>
      <c r="Q80" s="12">
        <v>5</v>
      </c>
      <c r="R80" s="12">
        <v>3.7878787878787881</v>
      </c>
      <c r="S80" s="12" t="str">
        <v>Available</v>
      </c>
    </row>
    <row r="81" spans="2:19" x14ac:dyDescent="0.3">
      <c r="B81" s="12" t="str">
        <v>FFM75</v>
      </c>
      <c r="C81" s="13">
        <v>46268</v>
      </c>
      <c r="D81" s="12" t="str">
        <v>Fixed-Candy</v>
      </c>
      <c r="E81" s="12" t="str">
        <v>XO</v>
      </c>
      <c r="F81" s="12" t="str">
        <v>Caramel</v>
      </c>
      <c r="G81" s="12">
        <v>1</v>
      </c>
      <c r="H81" s="12">
        <v>16</v>
      </c>
      <c r="I81" s="12">
        <v>16</v>
      </c>
      <c r="J81" s="12">
        <v>5</v>
      </c>
      <c r="K81" s="12">
        <v>80</v>
      </c>
      <c r="L81" s="11">
        <v>5</v>
      </c>
      <c r="M81" s="12">
        <v>2.5</v>
      </c>
      <c r="N81" s="12">
        <v>40</v>
      </c>
      <c r="O81" s="12">
        <v>0</v>
      </c>
      <c r="P81" s="12">
        <v>16</v>
      </c>
      <c r="Q81" s="12">
        <v>0</v>
      </c>
      <c r="R81" s="12">
        <v>0</v>
      </c>
      <c r="S81" s="12" t="str">
        <v>Available</v>
      </c>
    </row>
    <row r="82" spans="2:19" x14ac:dyDescent="0.3">
      <c r="B82" s="12" t="str">
        <v>FFM76</v>
      </c>
      <c r="C82" s="13">
        <v>46268</v>
      </c>
      <c r="D82" s="12" t="str">
        <v>Fixed-Candy</v>
      </c>
      <c r="E82" s="12" t="str">
        <v>MAXX</v>
      </c>
      <c r="F82" s="12" t="str">
        <v>Honey Lemon</v>
      </c>
      <c r="G82" s="12">
        <v>1</v>
      </c>
      <c r="H82" s="12">
        <v>16</v>
      </c>
      <c r="I82" s="12">
        <v>16</v>
      </c>
      <c r="J82" s="12">
        <v>5</v>
      </c>
      <c r="K82" s="12">
        <v>80</v>
      </c>
      <c r="L82" s="11">
        <v>5</v>
      </c>
      <c r="M82" s="12">
        <v>2.4375</v>
      </c>
      <c r="N82" s="12">
        <v>39</v>
      </c>
      <c r="O82" s="12">
        <v>0</v>
      </c>
      <c r="P82" s="12">
        <v>16</v>
      </c>
      <c r="Q82" s="12">
        <v>0</v>
      </c>
      <c r="R82" s="12">
        <v>0</v>
      </c>
      <c r="S82" s="12" t="str">
        <v>Available</v>
      </c>
    </row>
    <row r="83" spans="2:19" x14ac:dyDescent="0.3">
      <c r="B83" s="12" t="str">
        <v>FFM77</v>
      </c>
      <c r="C83" s="13">
        <v>46268</v>
      </c>
      <c r="D83" s="12" t="str">
        <v>Fixed-Candy</v>
      </c>
      <c r="E83" s="12" t="str">
        <v>MAXX</v>
      </c>
      <c r="F83" s="12" t="str">
        <v>Cherry</v>
      </c>
      <c r="G83" s="12">
        <v>1</v>
      </c>
      <c r="H83" s="12">
        <v>16</v>
      </c>
      <c r="I83" s="12">
        <v>16</v>
      </c>
      <c r="J83" s="12">
        <v>5</v>
      </c>
      <c r="K83" s="12">
        <v>80</v>
      </c>
      <c r="L83" s="11">
        <v>5</v>
      </c>
      <c r="M83" s="12">
        <v>2.4375</v>
      </c>
      <c r="N83" s="12">
        <v>39</v>
      </c>
      <c r="O83" s="12">
        <v>0</v>
      </c>
      <c r="P83" s="12">
        <v>16</v>
      </c>
      <c r="Q83" s="12">
        <v>0</v>
      </c>
      <c r="R83" s="12">
        <v>0</v>
      </c>
      <c r="S83" s="12" t="str">
        <v>Available</v>
      </c>
    </row>
    <row r="84" spans="2:19" x14ac:dyDescent="0.3">
      <c r="B84" s="12" t="str">
        <v>BFM78</v>
      </c>
      <c r="C84" s="13">
        <v>46268</v>
      </c>
      <c r="D84" s="12" t="str">
        <v>Biscuits</v>
      </c>
      <c r="E84" s="12" t="str">
        <v>Iced Gem</v>
      </c>
      <c r="F84" s="12" t="str">
        <v>Biscuit</v>
      </c>
      <c r="G84" s="12">
        <v>1</v>
      </c>
      <c r="H84" s="12">
        <v>12</v>
      </c>
      <c r="I84" s="12">
        <v>12</v>
      </c>
      <c r="J84" s="12">
        <v>76</v>
      </c>
      <c r="K84" s="12">
        <v>6.333333333333333</v>
      </c>
      <c r="L84" s="11">
        <v>8</v>
      </c>
      <c r="M84" s="12">
        <v>1.666666666666667</v>
      </c>
      <c r="N84" s="12">
        <v>20.000000000000004</v>
      </c>
      <c r="O84" s="12">
        <v>1</v>
      </c>
      <c r="P84" s="12">
        <v>11</v>
      </c>
      <c r="Q84" s="12">
        <v>8</v>
      </c>
      <c r="R84" s="12">
        <v>1.666666666666667</v>
      </c>
      <c r="S84" s="12" t="str">
        <v>Available</v>
      </c>
    </row>
    <row r="85" spans="2:19" x14ac:dyDescent="0.3">
      <c r="B85" s="12" t="str">
        <v>BFM79</v>
      </c>
      <c r="C85" s="13">
        <v>46268</v>
      </c>
      <c r="D85" s="12" t="str">
        <v>Bread</v>
      </c>
      <c r="E85" s="12" t="str">
        <v>Lemon Square</v>
      </c>
      <c r="F85" s="12" t="str">
        <v>Cheese Cake</v>
      </c>
      <c r="G85" s="12">
        <v>1</v>
      </c>
      <c r="H85" s="12">
        <v>10</v>
      </c>
      <c r="I85" s="12">
        <v>10</v>
      </c>
      <c r="J85" s="12">
        <v>77.75</v>
      </c>
      <c r="K85" s="12">
        <v>7.7750000000000004</v>
      </c>
      <c r="L85" s="11">
        <v>9</v>
      </c>
      <c r="M85" s="12">
        <v>1.2249999999999996</v>
      </c>
      <c r="N85" s="12">
        <v>12.249999999999996</v>
      </c>
      <c r="O85" s="12">
        <v>0</v>
      </c>
      <c r="P85" s="12">
        <v>10</v>
      </c>
      <c r="Q85" s="12">
        <v>0</v>
      </c>
      <c r="R85" s="12">
        <v>0</v>
      </c>
      <c r="S85" s="12" t="str">
        <v>Available</v>
      </c>
    </row>
    <row r="86" spans="2:19" x14ac:dyDescent="0.3">
      <c r="B86" s="12" t="str">
        <v>BFM80</v>
      </c>
      <c r="C86" s="13">
        <v>46268</v>
      </c>
      <c r="D86" s="12" t="str">
        <v>Biscuits</v>
      </c>
      <c r="E86" s="12" t="str">
        <v>Fita</v>
      </c>
      <c r="F86" s="12" t="str">
        <v>Singles 10's</v>
      </c>
      <c r="G86" s="12">
        <v>2</v>
      </c>
      <c r="H86" s="12">
        <v>10</v>
      </c>
      <c r="I86" s="12">
        <v>20</v>
      </c>
      <c r="J86" s="12">
        <v>119</v>
      </c>
      <c r="K86" s="12">
        <v>5.95</v>
      </c>
      <c r="L86" s="11">
        <v>8</v>
      </c>
      <c r="M86" s="12">
        <v>2.0499999999999998</v>
      </c>
      <c r="N86" s="12">
        <v>41</v>
      </c>
      <c r="O86" s="12">
        <v>0</v>
      </c>
      <c r="P86" s="12">
        <v>20</v>
      </c>
      <c r="Q86" s="12">
        <v>0</v>
      </c>
      <c r="R86" s="12">
        <v>0</v>
      </c>
      <c r="S86" s="12" t="str">
        <v>Available</v>
      </c>
    </row>
    <row r="87" spans="2:19" x14ac:dyDescent="0.3">
      <c r="B87" s="12" t="str">
        <v>BFM81</v>
      </c>
      <c r="C87" s="13">
        <v>46268</v>
      </c>
      <c r="D87" s="12" t="str">
        <v>Biscuits</v>
      </c>
      <c r="E87" s="12" t="str">
        <v>Sky Flakes</v>
      </c>
      <c r="F87" s="12" t="str">
        <v>Crackers</v>
      </c>
      <c r="G87" s="12">
        <v>1</v>
      </c>
      <c r="H87" s="12">
        <v>24</v>
      </c>
      <c r="I87" s="12">
        <v>24</v>
      </c>
      <c r="J87" s="12">
        <v>139</v>
      </c>
      <c r="K87" s="12">
        <v>5.791666666666667</v>
      </c>
      <c r="L87" s="11">
        <v>8</v>
      </c>
      <c r="M87" s="12">
        <v>2.208333333333333</v>
      </c>
      <c r="N87" s="12">
        <v>52.999999999999993</v>
      </c>
      <c r="O87" s="12">
        <v>0</v>
      </c>
      <c r="P87" s="12">
        <v>24</v>
      </c>
      <c r="Q87" s="12">
        <v>0</v>
      </c>
      <c r="R87" s="12">
        <v>0</v>
      </c>
      <c r="S87" s="12" t="str">
        <v>Available</v>
      </c>
    </row>
    <row r="88" spans="2:19" x14ac:dyDescent="0.3">
      <c r="B88" s="12" t="str">
        <v>MFM82</v>
      </c>
      <c r="C88" s="13">
        <v>46268</v>
      </c>
      <c r="D88" s="12" t="str">
        <v>Milk</v>
      </c>
      <c r="E88" s="12" t="str">
        <v>Birch Tree</v>
      </c>
      <c r="F88" s="12" t="str">
        <v>Promo 88</v>
      </c>
      <c r="G88" s="12">
        <v>1</v>
      </c>
      <c r="H88" s="12">
        <v>10</v>
      </c>
      <c r="I88" s="12">
        <v>10</v>
      </c>
      <c r="J88" s="12">
        <v>83.5</v>
      </c>
      <c r="K88" s="12">
        <v>8.35</v>
      </c>
      <c r="L88" s="11">
        <v>10</v>
      </c>
      <c r="M88" s="12">
        <v>1.6500000000000004</v>
      </c>
      <c r="N88" s="12">
        <v>16.500000000000004</v>
      </c>
      <c r="O88" s="12">
        <v>0</v>
      </c>
      <c r="P88" s="12">
        <v>10</v>
      </c>
      <c r="Q88" s="12">
        <v>0</v>
      </c>
      <c r="R88" s="12">
        <v>0</v>
      </c>
      <c r="S88" s="12" t="str">
        <v>Available</v>
      </c>
    </row>
    <row r="89" spans="2:19" x14ac:dyDescent="0.3">
      <c r="B89" s="12" t="str">
        <v>CFM83</v>
      </c>
      <c r="C89" s="13">
        <v>46268</v>
      </c>
      <c r="D89" s="12" t="str">
        <v>Cereal</v>
      </c>
      <c r="E89" s="12" t="str">
        <v>Energen</v>
      </c>
      <c r="F89" s="12" t="str">
        <v>Choco</v>
      </c>
      <c r="G89" s="12">
        <v>1</v>
      </c>
      <c r="H89" s="12">
        <v>10</v>
      </c>
      <c r="I89" s="12">
        <v>10</v>
      </c>
      <c r="J89" s="12">
        <v>84</v>
      </c>
      <c r="K89" s="12">
        <v>8.4</v>
      </c>
      <c r="L89" s="11">
        <v>10</v>
      </c>
      <c r="M89" s="12">
        <v>1.5999999999999996</v>
      </c>
      <c r="N89" s="12">
        <v>15.999999999999996</v>
      </c>
      <c r="O89" s="12">
        <v>0</v>
      </c>
      <c r="P89" s="12">
        <v>10</v>
      </c>
      <c r="Q89" s="12">
        <v>0</v>
      </c>
      <c r="R89" s="12">
        <v>0</v>
      </c>
      <c r="S89" s="12" t="str">
        <v>Available</v>
      </c>
    </row>
    <row r="90" spans="2:19" x14ac:dyDescent="0.3">
      <c r="B90" s="12" t="str">
        <v>FFM84</v>
      </c>
      <c r="C90" s="13">
        <v>46268</v>
      </c>
      <c r="D90" s="12" t="str">
        <v>Fixed-Candy</v>
      </c>
      <c r="E90" s="12" t="str">
        <v>Snowbear</v>
      </c>
      <c r="F90" s="12" t="str">
        <v>Snowbear</v>
      </c>
      <c r="G90" s="12">
        <v>1</v>
      </c>
      <c r="H90" s="12">
        <v>16</v>
      </c>
      <c r="I90" s="12">
        <v>16</v>
      </c>
      <c r="J90" s="12">
        <v>5</v>
      </c>
      <c r="K90" s="12">
        <v>80</v>
      </c>
      <c r="L90" s="11">
        <v>5</v>
      </c>
      <c r="M90" s="12">
        <v>2.09375</v>
      </c>
      <c r="N90" s="12">
        <v>33.5</v>
      </c>
      <c r="O90" s="12">
        <v>1</v>
      </c>
      <c r="P90" s="12">
        <v>15</v>
      </c>
      <c r="Q90" s="12">
        <v>5</v>
      </c>
      <c r="R90" s="12">
        <v>2.09375</v>
      </c>
      <c r="S90" s="12" t="str">
        <v>Available</v>
      </c>
    </row>
    <row r="91" spans="2:19" x14ac:dyDescent="0.3">
      <c r="B91" s="12" t="str">
        <v>CFM85</v>
      </c>
      <c r="C91" s="13">
        <v>46268</v>
      </c>
      <c r="D91" s="12" t="str">
        <v>Cereal</v>
      </c>
      <c r="E91" s="12" t="str">
        <v>Energen</v>
      </c>
      <c r="F91" s="12" t="str">
        <v>Vanilla</v>
      </c>
      <c r="G91" s="12">
        <v>1</v>
      </c>
      <c r="H91" s="12">
        <v>10</v>
      </c>
      <c r="I91" s="12">
        <v>10</v>
      </c>
      <c r="J91" s="12">
        <v>84</v>
      </c>
      <c r="K91" s="12">
        <v>8.4</v>
      </c>
      <c r="L91" s="11">
        <v>10</v>
      </c>
      <c r="M91" s="12">
        <v>1.5999999999999996</v>
      </c>
      <c r="N91" s="12">
        <v>15.999999999999996</v>
      </c>
      <c r="O91" s="12">
        <v>0</v>
      </c>
      <c r="P91" s="12">
        <v>10</v>
      </c>
      <c r="Q91" s="12">
        <v>0</v>
      </c>
      <c r="R91" s="12">
        <v>0</v>
      </c>
      <c r="S91" s="12" t="str">
        <v>Available</v>
      </c>
    </row>
    <row r="92" spans="2:19" x14ac:dyDescent="0.3">
      <c r="B92" s="12" t="str">
        <v>CFM86</v>
      </c>
      <c r="C92" s="13">
        <v>46268</v>
      </c>
      <c r="D92" s="12" t="str">
        <v>Coffee</v>
      </c>
      <c r="E92" s="12" t="str">
        <v>Great Taste</v>
      </c>
      <c r="F92" s="12" t="str">
        <v>White Twin</v>
      </c>
      <c r="G92" s="12">
        <v>1</v>
      </c>
      <c r="H92" s="12">
        <v>10</v>
      </c>
      <c r="I92" s="12">
        <v>10</v>
      </c>
      <c r="J92" s="12">
        <v>127.5</v>
      </c>
      <c r="K92" s="12">
        <v>12.75</v>
      </c>
      <c r="L92" s="11">
        <v>15</v>
      </c>
      <c r="M92" s="12">
        <v>2.25</v>
      </c>
      <c r="N92" s="12">
        <v>22.5</v>
      </c>
      <c r="O92" s="12">
        <v>0</v>
      </c>
      <c r="P92" s="12">
        <v>10</v>
      </c>
      <c r="Q92" s="12">
        <v>0</v>
      </c>
      <c r="R92" s="12">
        <v>0</v>
      </c>
      <c r="S92" s="12" t="str">
        <v>Available</v>
      </c>
    </row>
    <row r="93" spans="2:19" x14ac:dyDescent="0.3">
      <c r="B93" s="12" t="str">
        <v>BFM87</v>
      </c>
      <c r="C93" s="13">
        <v>46268</v>
      </c>
      <c r="D93" s="12" t="str">
        <v>Bread</v>
      </c>
      <c r="E93" s="12" t="str">
        <v>Fudgee Barr</v>
      </c>
      <c r="F93" s="12" t="str">
        <v>Choco</v>
      </c>
      <c r="G93" s="12">
        <v>2</v>
      </c>
      <c r="H93" s="12">
        <v>10</v>
      </c>
      <c r="I93" s="12">
        <v>20</v>
      </c>
      <c r="J93" s="12">
        <v>162</v>
      </c>
      <c r="K93" s="12">
        <v>8.1</v>
      </c>
      <c r="L93" s="11">
        <v>10</v>
      </c>
      <c r="M93" s="12">
        <v>1.9000000000000004</v>
      </c>
      <c r="N93" s="12">
        <v>38.000000000000007</v>
      </c>
      <c r="O93" s="12">
        <v>0</v>
      </c>
      <c r="P93" s="12">
        <v>20</v>
      </c>
      <c r="Q93" s="12">
        <v>0</v>
      </c>
      <c r="R93" s="12">
        <v>0</v>
      </c>
      <c r="S93" s="12" t="str">
        <v>Available</v>
      </c>
    </row>
    <row r="94" spans="2:19" x14ac:dyDescent="0.3">
      <c r="B94" s="12" t="str">
        <v>BFM88</v>
      </c>
      <c r="C94" s="13">
        <v>46268</v>
      </c>
      <c r="D94" s="12" t="str">
        <v>Bread</v>
      </c>
      <c r="E94" s="12" t="str">
        <v>Lava Cake</v>
      </c>
      <c r="F94" s="12" t="str">
        <v>Bavarian</v>
      </c>
      <c r="G94" s="12">
        <v>1</v>
      </c>
      <c r="H94" s="12">
        <v>10</v>
      </c>
      <c r="I94" s="12">
        <v>10</v>
      </c>
      <c r="J94" s="12">
        <v>80</v>
      </c>
      <c r="K94" s="12">
        <v>8</v>
      </c>
      <c r="L94" s="11">
        <v>10</v>
      </c>
      <c r="M94" s="12">
        <v>2</v>
      </c>
      <c r="N94" s="12">
        <v>20</v>
      </c>
      <c r="O94" s="12">
        <v>0</v>
      </c>
      <c r="P94" s="12">
        <v>10</v>
      </c>
      <c r="Q94" s="12">
        <v>0</v>
      </c>
      <c r="R94" s="12">
        <v>0</v>
      </c>
      <c r="S94" s="12" t="str">
        <v>Available</v>
      </c>
    </row>
    <row r="95" spans="2:19" x14ac:dyDescent="0.3">
      <c r="B95" s="12" t="str">
        <v>BFM89</v>
      </c>
      <c r="C95" s="13">
        <v>46268</v>
      </c>
      <c r="D95" s="12" t="str">
        <v>Biscuits</v>
      </c>
      <c r="E95" s="12" t="str">
        <v>Big Choco</v>
      </c>
      <c r="F95" s="12" t="str">
        <v>Dip Cup</v>
      </c>
      <c r="G95" s="12">
        <v>1</v>
      </c>
      <c r="H95" s="12">
        <v>10</v>
      </c>
      <c r="I95" s="12">
        <v>10</v>
      </c>
      <c r="J95" s="12">
        <v>75</v>
      </c>
      <c r="K95" s="12">
        <v>7.5</v>
      </c>
      <c r="L95" s="11">
        <v>10</v>
      </c>
      <c r="M95" s="12">
        <v>2.5</v>
      </c>
      <c r="N95" s="12">
        <v>25</v>
      </c>
      <c r="O95" s="12">
        <v>1</v>
      </c>
      <c r="P95" s="12">
        <v>9</v>
      </c>
      <c r="Q95" s="12">
        <v>10</v>
      </c>
      <c r="R95" s="12">
        <v>2.5</v>
      </c>
      <c r="S95" s="12" t="str">
        <v>Available</v>
      </c>
    </row>
    <row r="96" spans="2:19" x14ac:dyDescent="0.3">
      <c r="B96" s="12" t="str">
        <v>CFM90</v>
      </c>
      <c r="C96" s="13">
        <v>46268</v>
      </c>
      <c r="D96" s="12" t="str">
        <v>Candy</v>
      </c>
      <c r="E96" s="12" t="str">
        <v>Love Lips</v>
      </c>
      <c r="F96" s="12" t="str">
        <v>Candy</v>
      </c>
      <c r="G96" s="12">
        <v>2</v>
      </c>
      <c r="H96" s="12">
        <v>24</v>
      </c>
      <c r="I96" s="12">
        <v>48</v>
      </c>
      <c r="J96" s="12">
        <v>47</v>
      </c>
      <c r="K96" s="12">
        <v>0.97916666666666663</v>
      </c>
      <c r="L96" s="11">
        <v>2</v>
      </c>
      <c r="M96" s="12">
        <v>1.0208333333333335</v>
      </c>
      <c r="N96" s="12">
        <v>49.000000000000007</v>
      </c>
      <c r="O96" s="12">
        <v>0</v>
      </c>
      <c r="P96" s="12">
        <v>48</v>
      </c>
      <c r="Q96" s="12">
        <v>0</v>
      </c>
      <c r="R96" s="12">
        <v>0</v>
      </c>
      <c r="S96" s="12" t="str">
        <v>Available</v>
      </c>
    </row>
    <row r="97" spans="2:19" x14ac:dyDescent="0.3">
      <c r="B97" s="12" t="str">
        <v>FFM91</v>
      </c>
      <c r="C97" s="13">
        <v>46268</v>
      </c>
      <c r="D97" s="12" t="str">
        <v>Fixed-Candy</v>
      </c>
      <c r="E97" s="12" t="str">
        <v>Snowbear</v>
      </c>
      <c r="F97" s="12" t="str">
        <v>100's</v>
      </c>
      <c r="G97" s="12">
        <v>1</v>
      </c>
      <c r="H97" s="12">
        <v>33</v>
      </c>
      <c r="I97" s="12">
        <v>33</v>
      </c>
      <c r="J97" s="12">
        <v>5</v>
      </c>
      <c r="K97" s="12">
        <v>165</v>
      </c>
      <c r="L97" s="11">
        <v>5</v>
      </c>
      <c r="M97" s="12">
        <v>2.2575757575757578</v>
      </c>
      <c r="N97" s="12">
        <v>74.5</v>
      </c>
      <c r="O97" s="12">
        <v>0</v>
      </c>
      <c r="P97" s="12">
        <v>33</v>
      </c>
      <c r="Q97" s="12">
        <v>0</v>
      </c>
      <c r="R97" s="12">
        <v>0</v>
      </c>
      <c r="S97" s="12" t="str">
        <v>Available</v>
      </c>
    </row>
    <row r="98" spans="2:19" x14ac:dyDescent="0.3">
      <c r="B98" s="12" t="str">
        <v>BFM92</v>
      </c>
      <c r="C98" s="13">
        <v>46268</v>
      </c>
      <c r="D98" s="12" t="str">
        <v>Biscuits</v>
      </c>
      <c r="E98" s="12" t="str">
        <v>Stik-O</v>
      </c>
      <c r="F98" s="12" t="str">
        <v>Choco</v>
      </c>
      <c r="G98" s="12">
        <v>1</v>
      </c>
      <c r="H98" s="12">
        <v>52</v>
      </c>
      <c r="I98" s="12">
        <v>52</v>
      </c>
      <c r="J98" s="12">
        <v>83.75</v>
      </c>
      <c r="K98" s="12">
        <v>1.6105769230769231</v>
      </c>
      <c r="L98" s="11">
        <v>2</v>
      </c>
      <c r="M98" s="12">
        <v>0.38942307692307687</v>
      </c>
      <c r="N98" s="12">
        <v>20.249999999999996</v>
      </c>
      <c r="O98" s="12">
        <v>6</v>
      </c>
      <c r="P98" s="12">
        <v>46</v>
      </c>
      <c r="Q98" s="12">
        <v>12</v>
      </c>
      <c r="R98" s="12">
        <v>2.3365384615384612</v>
      </c>
      <c r="S98" s="12" t="str">
        <v>Available</v>
      </c>
    </row>
    <row r="99" spans="2:19" x14ac:dyDescent="0.3">
      <c r="B99" s="12" t="str">
        <v>NFM93</v>
      </c>
      <c r="C99" s="13">
        <v>46268</v>
      </c>
      <c r="D99" s="12" t="str">
        <v>Noodles</v>
      </c>
      <c r="E99" s="12" t="str">
        <v>Supreme</v>
      </c>
      <c r="F99" s="12" t="str">
        <v>Bulalo</v>
      </c>
      <c r="G99" s="12">
        <v>1</v>
      </c>
      <c r="H99" s="12">
        <v>2</v>
      </c>
      <c r="I99" s="12">
        <v>2</v>
      </c>
      <c r="J99" s="12">
        <v>45.2</v>
      </c>
      <c r="K99" s="12">
        <v>22.6</v>
      </c>
      <c r="L99" s="11">
        <v>25</v>
      </c>
      <c r="M99" s="12">
        <v>2.3999999999999986</v>
      </c>
      <c r="N99" s="12">
        <v>4.7999999999999972</v>
      </c>
      <c r="O99" s="12">
        <v>0</v>
      </c>
      <c r="P99" s="12">
        <v>2</v>
      </c>
      <c r="Q99" s="12">
        <v>0</v>
      </c>
      <c r="R99" s="12">
        <v>0</v>
      </c>
      <c r="S99" s="12" t="str">
        <v>Available</v>
      </c>
    </row>
    <row r="100" spans="2:19" x14ac:dyDescent="0.3">
      <c r="B100" s="12" t="str">
        <v>MFM94</v>
      </c>
      <c r="C100" s="13">
        <v>46268</v>
      </c>
      <c r="D100" s="12" t="str">
        <v>MSG</v>
      </c>
      <c r="E100" s="12" t="str">
        <v>Knorr</v>
      </c>
      <c r="F100" s="12" t="str">
        <v>Sinigang Sampaloc Orig</v>
      </c>
      <c r="G100" s="12">
        <v>1</v>
      </c>
      <c r="H100" s="12">
        <v>12</v>
      </c>
      <c r="I100" s="12">
        <v>12</v>
      </c>
      <c r="J100" s="12">
        <v>178.2</v>
      </c>
      <c r="K100" s="12">
        <v>14.85</v>
      </c>
      <c r="L100" s="11">
        <v>17</v>
      </c>
      <c r="M100" s="12">
        <v>2.1500000000000004</v>
      </c>
      <c r="N100" s="12">
        <v>25.800000000000004</v>
      </c>
      <c r="O100" s="12">
        <v>0</v>
      </c>
      <c r="P100" s="12">
        <v>12</v>
      </c>
      <c r="Q100" s="12">
        <v>0</v>
      </c>
      <c r="R100" s="12">
        <v>0</v>
      </c>
      <c r="S100" s="12" t="str">
        <v>Available</v>
      </c>
    </row>
    <row r="101" spans="2:19" x14ac:dyDescent="0.3">
      <c r="B101" s="12" t="str">
        <v>BFM95</v>
      </c>
      <c r="C101" s="13">
        <v>46268</v>
      </c>
      <c r="D101" s="12" t="str">
        <v>Biscuits</v>
      </c>
      <c r="E101" s="12" t="str">
        <v>Cal Cheese</v>
      </c>
      <c r="F101" s="12" t="str">
        <v>200g</v>
      </c>
      <c r="G101" s="12">
        <v>1</v>
      </c>
      <c r="H101" s="12">
        <v>10</v>
      </c>
      <c r="I101" s="12">
        <v>10</v>
      </c>
      <c r="J101" s="12">
        <v>60</v>
      </c>
      <c r="K101" s="12">
        <v>6</v>
      </c>
      <c r="L101" s="11">
        <v>7</v>
      </c>
      <c r="M101" s="12">
        <v>1</v>
      </c>
      <c r="N101" s="12">
        <v>10</v>
      </c>
      <c r="O101" s="12">
        <v>0</v>
      </c>
      <c r="P101" s="12">
        <v>10</v>
      </c>
      <c r="Q101" s="12">
        <v>0</v>
      </c>
      <c r="R101" s="12">
        <v>0</v>
      </c>
      <c r="S101" s="12" t="str">
        <v>Available</v>
      </c>
    </row>
    <row r="102" spans="2:19" x14ac:dyDescent="0.3">
      <c r="B102" s="12" t="str">
        <v>BFM96</v>
      </c>
      <c r="C102" s="13">
        <v>46268</v>
      </c>
      <c r="D102" s="12" t="str">
        <v>Biscuits</v>
      </c>
      <c r="E102" s="12" t="str">
        <v>Magic Creams</v>
      </c>
      <c r="F102" s="12" t="str">
        <v>Choco jr</v>
      </c>
      <c r="G102" s="12">
        <v>1</v>
      </c>
      <c r="H102" s="12">
        <v>10</v>
      </c>
      <c r="I102" s="12">
        <v>10</v>
      </c>
      <c r="J102" s="12">
        <v>29</v>
      </c>
      <c r="K102" s="12">
        <v>2.9</v>
      </c>
      <c r="L102" s="11">
        <v>4</v>
      </c>
      <c r="M102" s="12">
        <v>1.1000000000000001</v>
      </c>
      <c r="N102" s="12">
        <v>11</v>
      </c>
      <c r="O102" s="12">
        <v>0</v>
      </c>
      <c r="P102" s="12">
        <v>10</v>
      </c>
      <c r="Q102" s="12">
        <v>0</v>
      </c>
      <c r="R102" s="12">
        <v>0</v>
      </c>
      <c r="S102" s="12" t="str">
        <v>Available</v>
      </c>
    </row>
    <row r="103" spans="2:19" x14ac:dyDescent="0.3">
      <c r="B103" s="12" t="str">
        <v>BFM97</v>
      </c>
      <c r="C103" s="13">
        <v>46268</v>
      </c>
      <c r="D103" s="12" t="str">
        <v>Biscuits</v>
      </c>
      <c r="E103" s="12" t="str">
        <v>Magic Creams</v>
      </c>
      <c r="F103" s="12" t="str">
        <v>Condensada jr</v>
      </c>
      <c r="G103" s="12">
        <v>1</v>
      </c>
      <c r="H103" s="12">
        <v>10</v>
      </c>
      <c r="I103" s="12">
        <v>10</v>
      </c>
      <c r="J103" s="12">
        <v>29</v>
      </c>
      <c r="K103" s="12">
        <v>2.9</v>
      </c>
      <c r="L103" s="11">
        <v>4</v>
      </c>
      <c r="M103" s="12">
        <v>1.1000000000000001</v>
      </c>
      <c r="N103" s="12">
        <v>11</v>
      </c>
      <c r="O103" s="12">
        <v>0</v>
      </c>
      <c r="P103" s="12">
        <v>10</v>
      </c>
      <c r="Q103" s="12">
        <v>0</v>
      </c>
      <c r="R103" s="12">
        <v>0</v>
      </c>
      <c r="S103" s="12" t="str">
        <v>Available</v>
      </c>
    </row>
    <row r="104" spans="2:19" x14ac:dyDescent="0.3">
      <c r="B104" s="12" t="str">
        <v>FFM98</v>
      </c>
      <c r="C104" s="13">
        <v>46268</v>
      </c>
      <c r="D104" s="12" t="str">
        <v>Fixed-Candy</v>
      </c>
      <c r="E104" s="12" t="str">
        <v>Mentos</v>
      </c>
      <c r="F104" s="12" t="str">
        <v>Mint</v>
      </c>
      <c r="G104" s="12">
        <v>1</v>
      </c>
      <c r="H104" s="12">
        <v>16</v>
      </c>
      <c r="I104" s="12">
        <v>16</v>
      </c>
      <c r="J104" s="12">
        <v>5</v>
      </c>
      <c r="K104" s="12">
        <v>80</v>
      </c>
      <c r="L104" s="11">
        <v>5</v>
      </c>
      <c r="M104" s="12">
        <v>2.515625</v>
      </c>
      <c r="N104" s="12">
        <v>40.25</v>
      </c>
      <c r="O104" s="12">
        <v>0</v>
      </c>
      <c r="P104" s="12">
        <v>16</v>
      </c>
      <c r="Q104" s="12">
        <v>0</v>
      </c>
      <c r="R104" s="12">
        <v>0</v>
      </c>
      <c r="S104" s="12" t="str">
        <v>Available</v>
      </c>
    </row>
    <row r="105" spans="2:19" x14ac:dyDescent="0.3">
      <c r="B105" s="12" t="str">
        <v>CFM99</v>
      </c>
      <c r="C105" s="13">
        <v>46268</v>
      </c>
      <c r="D105" s="12" t="str">
        <v>Candy</v>
      </c>
      <c r="E105" s="12" t="str">
        <v>Nips</v>
      </c>
      <c r="F105" s="12" t="str">
        <v>Ties Choco</v>
      </c>
      <c r="G105" s="12">
        <v>1</v>
      </c>
      <c r="H105" s="12">
        <v>12</v>
      </c>
      <c r="I105" s="12">
        <v>12</v>
      </c>
      <c r="J105" s="12">
        <v>60</v>
      </c>
      <c r="K105" s="12">
        <v>5</v>
      </c>
      <c r="L105" s="11">
        <v>6</v>
      </c>
      <c r="M105" s="12">
        <v>1</v>
      </c>
      <c r="N105" s="12">
        <v>12</v>
      </c>
      <c r="O105" s="12">
        <v>0</v>
      </c>
      <c r="P105" s="12">
        <v>12</v>
      </c>
      <c r="Q105" s="12">
        <v>0</v>
      </c>
      <c r="R105" s="12">
        <v>0</v>
      </c>
      <c r="S105" s="12" t="str">
        <v>Available</v>
      </c>
    </row>
    <row r="106" spans="2:19" x14ac:dyDescent="0.3">
      <c r="B106" s="12" t="str">
        <v>BFM100</v>
      </c>
      <c r="C106" s="13">
        <v>46268</v>
      </c>
      <c r="D106" s="12" t="str">
        <v>Biscuits</v>
      </c>
      <c r="E106" s="12" t="str">
        <v>Cream-O</v>
      </c>
      <c r="F106" s="12" t="str">
        <v>Vanilla</v>
      </c>
      <c r="G106" s="12">
        <v>1</v>
      </c>
      <c r="H106" s="12">
        <v>10</v>
      </c>
      <c r="I106" s="12">
        <v>10</v>
      </c>
      <c r="J106" s="12">
        <v>72.5</v>
      </c>
      <c r="K106" s="12">
        <v>7.25</v>
      </c>
      <c r="L106" s="11">
        <v>9</v>
      </c>
      <c r="M106" s="12">
        <v>1.75</v>
      </c>
      <c r="N106" s="12">
        <v>17.5</v>
      </c>
      <c r="O106" s="12">
        <v>0</v>
      </c>
      <c r="P106" s="12">
        <v>10</v>
      </c>
      <c r="Q106" s="12">
        <v>0</v>
      </c>
      <c r="R106" s="12">
        <v>0</v>
      </c>
      <c r="S106" s="12" t="str">
        <v>Available</v>
      </c>
    </row>
    <row r="107" spans="2:19" x14ac:dyDescent="0.3">
      <c r="B107" s="12" t="str">
        <v>BFM101</v>
      </c>
      <c r="C107" s="13">
        <v>46268</v>
      </c>
      <c r="D107" s="12" t="str">
        <v>Biscuits</v>
      </c>
      <c r="E107" s="12" t="str">
        <v>Rebisco</v>
      </c>
      <c r="F107" s="12" t="str">
        <v>Crackers</v>
      </c>
      <c r="G107" s="12">
        <v>1</v>
      </c>
      <c r="H107" s="12">
        <v>10</v>
      </c>
      <c r="I107" s="12">
        <v>10</v>
      </c>
      <c r="J107" s="12">
        <v>61.25</v>
      </c>
      <c r="K107" s="12">
        <v>6.125</v>
      </c>
      <c r="L107" s="11">
        <v>8</v>
      </c>
      <c r="M107" s="12">
        <v>1.875</v>
      </c>
      <c r="N107" s="12">
        <v>18.75</v>
      </c>
      <c r="O107" s="12">
        <v>0</v>
      </c>
      <c r="P107" s="12">
        <v>10</v>
      </c>
      <c r="Q107" s="12">
        <v>0</v>
      </c>
      <c r="R107" s="12">
        <v>0</v>
      </c>
      <c r="S107" s="12" t="str">
        <v>Available</v>
      </c>
    </row>
    <row r="108" spans="2:19" x14ac:dyDescent="0.3">
      <c r="B108" s="12" t="str">
        <v>FFM102</v>
      </c>
      <c r="C108" s="13">
        <v>46268</v>
      </c>
      <c r="D108" s="12" t="str">
        <v>Fixed-Candy</v>
      </c>
      <c r="E108" s="12" t="str">
        <v>Dynamite</v>
      </c>
      <c r="F108" s="12" t="str">
        <v>Choco</v>
      </c>
      <c r="G108" s="12">
        <v>1</v>
      </c>
      <c r="H108" s="12">
        <v>16</v>
      </c>
      <c r="I108" s="12">
        <v>16</v>
      </c>
      <c r="J108" s="12">
        <v>5</v>
      </c>
      <c r="K108" s="12">
        <v>80</v>
      </c>
      <c r="L108" s="11">
        <v>5</v>
      </c>
      <c r="M108" s="12">
        <v>2.4375</v>
      </c>
      <c r="N108" s="12">
        <v>39</v>
      </c>
      <c r="O108" s="12">
        <v>0</v>
      </c>
      <c r="P108" s="12">
        <v>16</v>
      </c>
      <c r="Q108" s="12">
        <v>0</v>
      </c>
      <c r="R108" s="12">
        <v>0</v>
      </c>
      <c r="S108" s="12" t="str">
        <v>Available</v>
      </c>
    </row>
    <row r="109" spans="2:19" x14ac:dyDescent="0.3">
      <c r="B109" s="12" t="str">
        <v>MFM103</v>
      </c>
      <c r="C109" s="13">
        <v>46268</v>
      </c>
      <c r="D109" s="12" t="str">
        <v>Mayonnaise</v>
      </c>
      <c r="E109" s="12" t="str">
        <v>Lady's Choice</v>
      </c>
      <c r="F109" s="12" t="str">
        <v>30ml</v>
      </c>
      <c r="G109" s="12">
        <v>1</v>
      </c>
      <c r="H109" s="12">
        <v>6</v>
      </c>
      <c r="I109" s="12">
        <v>6</v>
      </c>
      <c r="J109" s="12">
        <v>11</v>
      </c>
      <c r="K109" s="12">
        <v>66</v>
      </c>
      <c r="L109" s="11">
        <v>13</v>
      </c>
      <c r="M109" s="12">
        <v>2</v>
      </c>
      <c r="N109" s="12">
        <v>12</v>
      </c>
      <c r="O109" s="12">
        <v>0</v>
      </c>
      <c r="P109" s="12">
        <v>6</v>
      </c>
      <c r="Q109" s="12">
        <v>0</v>
      </c>
      <c r="R109" s="12">
        <v>0</v>
      </c>
      <c r="S109" s="12" t="str">
        <v>Available</v>
      </c>
    </row>
    <row r="110" spans="2:19" x14ac:dyDescent="0.3">
      <c r="B110" s="12" t="str">
        <v>DFM104</v>
      </c>
      <c r="C110" s="13">
        <v>46268</v>
      </c>
      <c r="D110" s="12" t="str">
        <v>Drinks</v>
      </c>
      <c r="E110" s="12" t="str">
        <v>C2</v>
      </c>
      <c r="F110" s="12" t="str">
        <v>Solo Apple</v>
      </c>
      <c r="G110" s="12">
        <v>1</v>
      </c>
      <c r="H110" s="12">
        <v>6</v>
      </c>
      <c r="I110" s="12">
        <v>6</v>
      </c>
      <c r="J110" s="12">
        <v>14</v>
      </c>
      <c r="K110" s="12">
        <v>84</v>
      </c>
      <c r="L110" s="11">
        <v>17</v>
      </c>
      <c r="M110" s="12">
        <v>3</v>
      </c>
      <c r="N110" s="12">
        <v>18</v>
      </c>
      <c r="O110" s="12">
        <v>0</v>
      </c>
      <c r="P110" s="12">
        <v>6</v>
      </c>
      <c r="Q110" s="12">
        <v>0</v>
      </c>
      <c r="R110" s="12">
        <v>0</v>
      </c>
      <c r="S110" s="12" t="str">
        <v>Available</v>
      </c>
    </row>
    <row r="111" spans="2:19" x14ac:dyDescent="0.3">
      <c r="B111" s="12" t="str">
        <v>DNF105</v>
      </c>
      <c r="C111" s="13">
        <v>46268</v>
      </c>
      <c r="D111" s="12" t="str">
        <v>Drinks</v>
      </c>
      <c r="E111" s="12" t="str">
        <v>Chuckie</v>
      </c>
      <c r="F111" s="12" t="str">
        <v>180ml</v>
      </c>
      <c r="G111" s="12">
        <v>1</v>
      </c>
      <c r="H111" s="12">
        <v>6</v>
      </c>
      <c r="I111" s="12">
        <v>6</v>
      </c>
      <c r="J111" s="12">
        <v>122.75</v>
      </c>
      <c r="K111" s="12">
        <v>20.458333333333332</v>
      </c>
      <c r="L111" s="11">
        <v>27</v>
      </c>
      <c r="M111" s="12">
        <v>6.5416666666666679</v>
      </c>
      <c r="N111" s="12">
        <v>39.250000000000007</v>
      </c>
      <c r="O111" s="12">
        <v>0</v>
      </c>
      <c r="P111" s="12">
        <v>6</v>
      </c>
      <c r="Q111" s="12">
        <v>0</v>
      </c>
      <c r="R111" s="12">
        <v>0</v>
      </c>
      <c r="S111" s="12" t="str">
        <v>Available</v>
      </c>
    </row>
    <row r="112" spans="2:19" x14ac:dyDescent="0.3">
      <c r="B112" s="12" t="str">
        <v>DFM106</v>
      </c>
      <c r="C112" s="13">
        <v>46268</v>
      </c>
      <c r="D112" s="12" t="str">
        <v>Drinks</v>
      </c>
      <c r="E112" s="12" t="str">
        <v>Dutchmill</v>
      </c>
      <c r="F112" s="12" t="str">
        <v>Strawberry</v>
      </c>
      <c r="G112" s="12">
        <v>1</v>
      </c>
      <c r="H112" s="12">
        <v>4</v>
      </c>
      <c r="I112" s="12">
        <v>4</v>
      </c>
      <c r="J112" s="12">
        <v>80</v>
      </c>
      <c r="K112" s="12">
        <v>20</v>
      </c>
      <c r="L112" s="11">
        <v>24</v>
      </c>
      <c r="M112" s="12">
        <v>4</v>
      </c>
      <c r="N112" s="12">
        <v>16</v>
      </c>
      <c r="O112" s="12">
        <v>0</v>
      </c>
      <c r="P112" s="12">
        <v>4</v>
      </c>
      <c r="Q112" s="12">
        <v>0</v>
      </c>
      <c r="R112" s="12">
        <v>0</v>
      </c>
      <c r="S112" s="12" t="str">
        <v>Available</v>
      </c>
    </row>
    <row r="113" spans="2:19" x14ac:dyDescent="0.3">
      <c r="B113" s="12" t="str">
        <v>DFM107</v>
      </c>
      <c r="C113" s="13">
        <v>46268</v>
      </c>
      <c r="D113" s="12" t="str">
        <v>Drinks</v>
      </c>
      <c r="E113" s="12" t="str">
        <v>Milo</v>
      </c>
      <c r="F113" s="12" t="str">
        <v>24g</v>
      </c>
      <c r="G113" s="12">
        <v>1</v>
      </c>
      <c r="H113" s="12">
        <v>12</v>
      </c>
      <c r="I113" s="12">
        <v>12</v>
      </c>
      <c r="J113" s="12">
        <v>105.6</v>
      </c>
      <c r="K113" s="12">
        <v>8.7999999999999989</v>
      </c>
      <c r="L113" s="11">
        <v>11</v>
      </c>
      <c r="M113" s="12">
        <v>2.2000000000000011</v>
      </c>
      <c r="N113" s="12">
        <v>26.400000000000013</v>
      </c>
      <c r="O113" s="12">
        <v>0</v>
      </c>
      <c r="P113" s="12">
        <v>12</v>
      </c>
      <c r="Q113" s="12">
        <v>0</v>
      </c>
      <c r="R113" s="12">
        <v>0</v>
      </c>
      <c r="S113" s="12" t="str">
        <v>Available</v>
      </c>
    </row>
    <row r="114" spans="2:19" x14ac:dyDescent="0.3">
      <c r="B114" s="12" t="str">
        <v>NFM108</v>
      </c>
      <c r="C114" s="13">
        <v>46268</v>
      </c>
      <c r="D114" s="12" t="str">
        <v>Noodles</v>
      </c>
      <c r="E114" s="12" t="str">
        <v>Nissin</v>
      </c>
      <c r="F114" s="12" t="str">
        <v>Cup Bulalo</v>
      </c>
      <c r="G114" s="12">
        <v>1</v>
      </c>
      <c r="H114" s="12">
        <v>3</v>
      </c>
      <c r="I114" s="12">
        <v>3</v>
      </c>
      <c r="J114" s="12">
        <v>69</v>
      </c>
      <c r="K114" s="12">
        <v>23</v>
      </c>
      <c r="L114" s="11">
        <v>25</v>
      </c>
      <c r="M114" s="12">
        <v>2</v>
      </c>
      <c r="N114" s="12">
        <v>6</v>
      </c>
      <c r="O114" s="12">
        <v>0</v>
      </c>
      <c r="P114" s="12">
        <v>3</v>
      </c>
      <c r="Q114" s="12">
        <v>0</v>
      </c>
      <c r="R114" s="12">
        <v>0</v>
      </c>
      <c r="S114" s="12" t="str">
        <v>Available</v>
      </c>
    </row>
    <row r="115" spans="2:19" x14ac:dyDescent="0.3">
      <c r="B115" s="12" t="str">
        <v>CFM109</v>
      </c>
      <c r="C115" s="13">
        <v>46268</v>
      </c>
      <c r="D115" s="12" t="str">
        <v>Coffee</v>
      </c>
      <c r="E115" s="12" t="str">
        <v>Nescafe</v>
      </c>
      <c r="F115" s="12" t="str">
        <v>Original Twin 10's</v>
      </c>
      <c r="G115" s="12">
        <v>1</v>
      </c>
      <c r="H115" s="12">
        <v>15</v>
      </c>
      <c r="I115" s="12">
        <v>15</v>
      </c>
      <c r="J115" s="12">
        <v>190</v>
      </c>
      <c r="K115" s="12">
        <v>12.666666666666666</v>
      </c>
      <c r="L115" s="11">
        <v>15</v>
      </c>
      <c r="M115" s="12">
        <v>2.3333333333333339</v>
      </c>
      <c r="N115" s="12">
        <v>35.000000000000007</v>
      </c>
      <c r="O115" s="12">
        <v>0</v>
      </c>
      <c r="P115" s="12">
        <v>15</v>
      </c>
      <c r="Q115" s="12">
        <v>0</v>
      </c>
      <c r="R115" s="12">
        <v>0</v>
      </c>
      <c r="S115" s="12" t="str">
        <v>Available</v>
      </c>
    </row>
    <row r="116" spans="2:19" x14ac:dyDescent="0.3">
      <c r="B116" s="12" t="str">
        <v>GFM110</v>
      </c>
      <c r="C116" s="13">
        <v>46269</v>
      </c>
      <c r="D116" s="12" t="str">
        <v>Gravy</v>
      </c>
      <c r="E116" s="12" t="str">
        <v>Mang Tomas</v>
      </c>
      <c r="F116" s="12" t="str">
        <v>Dip</v>
      </c>
      <c r="G116" s="12">
        <v>1</v>
      </c>
      <c r="H116" s="12">
        <v>12</v>
      </c>
      <c r="I116" s="12">
        <v>12</v>
      </c>
      <c r="J116" s="12">
        <v>60</v>
      </c>
      <c r="K116" s="12">
        <v>5</v>
      </c>
      <c r="L116" s="11">
        <v>7</v>
      </c>
      <c r="M116" s="12">
        <v>2</v>
      </c>
      <c r="N116" s="12">
        <v>24</v>
      </c>
      <c r="O116" s="12">
        <v>0</v>
      </c>
      <c r="P116" s="12">
        <v>12</v>
      </c>
      <c r="Q116" s="12">
        <v>0</v>
      </c>
      <c r="R116" s="12">
        <v>0</v>
      </c>
      <c r="S116" s="12" t="str">
        <v>Available</v>
      </c>
    </row>
    <row r="117" spans="2:19" x14ac:dyDescent="0.3">
      <c r="B117" s="12" t="str">
        <v>JFM111</v>
      </c>
      <c r="C117" s="13">
        <v>46269</v>
      </c>
      <c r="D117" s="12" t="str">
        <v>Juice</v>
      </c>
      <c r="E117" s="12" t="str">
        <v>Tang</v>
      </c>
      <c r="F117" s="12" t="str">
        <v>Apple</v>
      </c>
      <c r="G117" s="12">
        <v>1</v>
      </c>
      <c r="H117" s="12">
        <v>12</v>
      </c>
      <c r="I117" s="12">
        <v>12</v>
      </c>
      <c r="J117" s="12">
        <v>233.4</v>
      </c>
      <c r="K117" s="12">
        <v>19.45</v>
      </c>
      <c r="L117" s="11">
        <v>22</v>
      </c>
      <c r="M117" s="12">
        <v>2.5500000000000007</v>
      </c>
      <c r="N117" s="12">
        <v>30.600000000000009</v>
      </c>
      <c r="O117" s="12">
        <v>0</v>
      </c>
      <c r="P117" s="12">
        <v>12</v>
      </c>
      <c r="Q117" s="12">
        <v>0</v>
      </c>
      <c r="R117" s="12">
        <v>0</v>
      </c>
      <c r="S117" s="12" t="str">
        <v>Available</v>
      </c>
    </row>
    <row r="118" spans="2:19" x14ac:dyDescent="0.3">
      <c r="B118" s="12" t="str">
        <v>VFM112</v>
      </c>
      <c r="C118" s="13">
        <v>46269</v>
      </c>
      <c r="D118" s="12" t="str">
        <v>Vinegar</v>
      </c>
      <c r="E118" s="12" t="str">
        <v>Datu Puti</v>
      </c>
      <c r="F118" s="12" t="str">
        <v>Sakto 60ml</v>
      </c>
      <c r="G118" s="12">
        <v>1</v>
      </c>
      <c r="H118" s="12">
        <v>6</v>
      </c>
      <c r="I118" s="12">
        <v>6</v>
      </c>
      <c r="J118" s="12">
        <v>22.8</v>
      </c>
      <c r="K118" s="12">
        <v>3.8000000000000003</v>
      </c>
      <c r="L118" s="11">
        <v>6</v>
      </c>
      <c r="M118" s="12">
        <v>2.1999999999999997</v>
      </c>
      <c r="N118" s="12">
        <v>13.2</v>
      </c>
      <c r="O118" s="12">
        <v>0</v>
      </c>
      <c r="P118" s="12">
        <v>6</v>
      </c>
      <c r="Q118" s="12">
        <v>0</v>
      </c>
      <c r="R118" s="12">
        <v>0</v>
      </c>
      <c r="S118" s="12" t="str">
        <v>Available</v>
      </c>
    </row>
    <row r="119" spans="2:19" x14ac:dyDescent="0.3">
      <c r="B119" s="12" t="str">
        <v>SFM113</v>
      </c>
      <c r="C119" s="13">
        <v>46269</v>
      </c>
      <c r="D119" s="12" t="str">
        <v>Soy Sauce</v>
      </c>
      <c r="E119" s="12" t="str">
        <v>Datu Puti</v>
      </c>
      <c r="F119" s="12" t="str">
        <v>Sakto 60ml</v>
      </c>
      <c r="G119" s="12">
        <v>1</v>
      </c>
      <c r="H119" s="12">
        <v>6</v>
      </c>
      <c r="I119" s="12">
        <v>6</v>
      </c>
      <c r="J119" s="12">
        <v>27.3</v>
      </c>
      <c r="K119" s="12">
        <v>4.55</v>
      </c>
      <c r="L119" s="11">
        <v>7</v>
      </c>
      <c r="M119" s="12">
        <v>2.4500000000000002</v>
      </c>
      <c r="N119" s="12">
        <v>14.700000000000001</v>
      </c>
      <c r="O119" s="12">
        <v>0</v>
      </c>
      <c r="P119" s="12">
        <v>6</v>
      </c>
      <c r="Q119" s="12">
        <v>0</v>
      </c>
      <c r="R119" s="12">
        <v>0</v>
      </c>
      <c r="S119" s="12" t="str">
        <v>Available</v>
      </c>
    </row>
    <row r="120" spans="2:19" x14ac:dyDescent="0.3">
      <c r="B120" s="12" t="str">
        <v>JFM114</v>
      </c>
      <c r="C120" s="13">
        <v>46269</v>
      </c>
      <c r="D120" s="12" t="str">
        <v>Juice</v>
      </c>
      <c r="E120" s="12" t="str">
        <v>Tang</v>
      </c>
      <c r="F120" s="12" t="str">
        <v>Dalandan</v>
      </c>
      <c r="G120" s="12">
        <v>1</v>
      </c>
      <c r="H120" s="12">
        <v>11</v>
      </c>
      <c r="I120" s="12">
        <v>11</v>
      </c>
      <c r="J120" s="12">
        <v>204.6</v>
      </c>
      <c r="K120" s="12">
        <v>18.599999999999998</v>
      </c>
      <c r="L120" s="11">
        <v>21</v>
      </c>
      <c r="M120" s="12">
        <v>2.4000000000000021</v>
      </c>
      <c r="N120" s="12">
        <v>26.400000000000023</v>
      </c>
      <c r="O120" s="12">
        <v>0</v>
      </c>
      <c r="P120" s="12">
        <v>11</v>
      </c>
      <c r="Q120" s="12">
        <v>0</v>
      </c>
      <c r="R120" s="12">
        <v>0</v>
      </c>
      <c r="S120" s="12" t="str">
        <v>Available</v>
      </c>
    </row>
    <row r="121" spans="2:19" x14ac:dyDescent="0.3">
      <c r="B121" s="12" t="str">
        <v>JFM115</v>
      </c>
      <c r="C121" s="13">
        <v>46269</v>
      </c>
      <c r="D121" s="12" t="str">
        <v>Juice</v>
      </c>
      <c r="E121" s="12" t="str">
        <v>Tang</v>
      </c>
      <c r="F121" s="12" t="str">
        <v>Mango</v>
      </c>
      <c r="G121" s="12">
        <v>1</v>
      </c>
      <c r="H121" s="12">
        <v>12</v>
      </c>
      <c r="I121" s="12">
        <v>12</v>
      </c>
      <c r="J121" s="12">
        <v>223.2</v>
      </c>
      <c r="K121" s="12">
        <v>18.599999999999998</v>
      </c>
      <c r="L121" s="11">
        <v>21</v>
      </c>
      <c r="M121" s="12">
        <v>2.4000000000000021</v>
      </c>
      <c r="N121" s="12">
        <v>28.800000000000026</v>
      </c>
      <c r="O121" s="12">
        <v>0</v>
      </c>
      <c r="P121" s="12">
        <v>12</v>
      </c>
      <c r="Q121" s="12">
        <v>0</v>
      </c>
      <c r="R121" s="12">
        <v>0</v>
      </c>
      <c r="S121" s="12" t="str">
        <v>Available</v>
      </c>
    </row>
    <row r="122" spans="2:19" x14ac:dyDescent="0.3">
      <c r="B122" s="12" t="str">
        <v>BFM116</v>
      </c>
      <c r="C122" s="13">
        <v>46269</v>
      </c>
      <c r="D122" s="12" t="str">
        <v>Breading</v>
      </c>
      <c r="E122" s="12" t="str">
        <v>Ajinomoto</v>
      </c>
      <c r="F122" s="12" t="str">
        <v>Tasty Boy Mix 80g</v>
      </c>
      <c r="G122" s="12">
        <v>1</v>
      </c>
      <c r="H122" s="12">
        <v>5</v>
      </c>
      <c r="I122" s="12">
        <v>5</v>
      </c>
      <c r="J122" s="12">
        <v>63</v>
      </c>
      <c r="K122" s="12">
        <v>12.6</v>
      </c>
      <c r="L122" s="11">
        <v>15</v>
      </c>
      <c r="M122" s="12">
        <v>2.4000000000000004</v>
      </c>
      <c r="N122" s="12">
        <v>12.000000000000002</v>
      </c>
      <c r="O122" s="12">
        <v>0</v>
      </c>
      <c r="P122" s="12">
        <v>5</v>
      </c>
      <c r="Q122" s="12">
        <v>0</v>
      </c>
      <c r="R122" s="12">
        <v>0</v>
      </c>
      <c r="S122" s="12" t="str">
        <v>Available</v>
      </c>
    </row>
    <row r="123" spans="2:19" x14ac:dyDescent="0.3">
      <c r="B123" s="12" t="str">
        <v>DFM117</v>
      </c>
      <c r="C123" s="13">
        <v>46269</v>
      </c>
      <c r="D123" s="12" t="str">
        <v>Dip</v>
      </c>
      <c r="E123" s="12" t="str">
        <v>UFC</v>
      </c>
      <c r="F123" s="12" t="str">
        <v>Sweet Chili Sauce 90g</v>
      </c>
      <c r="G123" s="12">
        <v>1</v>
      </c>
      <c r="H123" s="12">
        <v>3</v>
      </c>
      <c r="I123" s="12">
        <v>3</v>
      </c>
      <c r="J123" s="12">
        <v>49.8</v>
      </c>
      <c r="K123" s="12">
        <v>16.599999999999998</v>
      </c>
      <c r="L123" s="11">
        <v>19</v>
      </c>
      <c r="M123" s="12">
        <v>2.4000000000000021</v>
      </c>
      <c r="N123" s="12">
        <v>7.2000000000000064</v>
      </c>
      <c r="O123" s="12">
        <v>0</v>
      </c>
      <c r="P123" s="12">
        <v>3</v>
      </c>
      <c r="Q123" s="12">
        <v>0</v>
      </c>
      <c r="R123" s="12">
        <v>0</v>
      </c>
      <c r="S123" s="12" t="str">
        <v>Available</v>
      </c>
    </row>
    <row r="124" spans="2:19" x14ac:dyDescent="0.3">
      <c r="B124" s="12" t="str">
        <v>OFM118</v>
      </c>
      <c r="C124" s="13">
        <v>46269</v>
      </c>
      <c r="D124" s="12" t="str">
        <v>Oyster Sauce</v>
      </c>
      <c r="E124" s="12" t="str">
        <v>Sarsaya</v>
      </c>
      <c r="F124" s="12" t="str">
        <v>30g</v>
      </c>
      <c r="G124" s="12">
        <v>1</v>
      </c>
      <c r="H124" s="12">
        <v>6</v>
      </c>
      <c r="I124" s="12">
        <v>6</v>
      </c>
      <c r="J124" s="12">
        <v>26.4</v>
      </c>
      <c r="K124" s="12">
        <v>4.3999999999999995</v>
      </c>
      <c r="L124" s="11">
        <v>7</v>
      </c>
      <c r="M124" s="12">
        <v>2.6000000000000005</v>
      </c>
      <c r="N124" s="12">
        <v>15.600000000000003</v>
      </c>
      <c r="O124" s="12">
        <v>0</v>
      </c>
      <c r="P124" s="12">
        <v>6</v>
      </c>
      <c r="Q124" s="12">
        <v>0</v>
      </c>
      <c r="R124" s="12">
        <v>0</v>
      </c>
      <c r="S124" s="12" t="str">
        <v>Available</v>
      </c>
    </row>
    <row r="125" spans="2:19" x14ac:dyDescent="0.3">
      <c r="B125" s="12" t="str">
        <v>MFM119</v>
      </c>
      <c r="C125" s="13">
        <v>46269</v>
      </c>
      <c r="D125" s="12" t="str">
        <v>MSG</v>
      </c>
      <c r="E125" s="12" t="str">
        <v>Ajinomoto</v>
      </c>
      <c r="F125" s="12" t="str">
        <v>11gx18</v>
      </c>
      <c r="G125" s="12">
        <v>1</v>
      </c>
      <c r="H125" s="12">
        <v>18</v>
      </c>
      <c r="I125" s="12">
        <v>18</v>
      </c>
      <c r="J125" s="12">
        <v>62.5</v>
      </c>
      <c r="K125" s="12">
        <v>3.4722222222222223</v>
      </c>
      <c r="L125" s="11">
        <v>5</v>
      </c>
      <c r="M125" s="12">
        <v>1.5277777777777777</v>
      </c>
      <c r="N125" s="12">
        <v>27.5</v>
      </c>
      <c r="O125" s="12">
        <v>0</v>
      </c>
      <c r="P125" s="12">
        <v>18</v>
      </c>
      <c r="Q125" s="12">
        <v>0</v>
      </c>
      <c r="R125" s="12">
        <v>0</v>
      </c>
      <c r="S125" s="12" t="str">
        <v>Available</v>
      </c>
    </row>
    <row r="126" spans="2:19" x14ac:dyDescent="0.3">
      <c r="B126" s="12" t="str">
        <v>CFM120</v>
      </c>
      <c r="C126" s="13">
        <v>46269</v>
      </c>
      <c r="D126" s="12" t="str">
        <v>Creamer</v>
      </c>
      <c r="E126" s="12" t="str">
        <v>Coffee-Mate</v>
      </c>
      <c r="F126" s="12" t="str">
        <v>5g</v>
      </c>
      <c r="G126" s="12">
        <v>1</v>
      </c>
      <c r="H126" s="12">
        <v>24</v>
      </c>
      <c r="I126" s="12">
        <v>24</v>
      </c>
      <c r="J126" s="12">
        <v>48</v>
      </c>
      <c r="K126" s="12">
        <v>2</v>
      </c>
      <c r="L126" s="11">
        <v>4</v>
      </c>
      <c r="M126" s="12">
        <v>2</v>
      </c>
      <c r="N126" s="12">
        <v>48</v>
      </c>
      <c r="O126" s="12">
        <v>0</v>
      </c>
      <c r="P126" s="12">
        <v>24</v>
      </c>
      <c r="Q126" s="12">
        <v>0</v>
      </c>
      <c r="R126" s="12">
        <v>0</v>
      </c>
      <c r="S126" s="12" t="str">
        <v>Available</v>
      </c>
    </row>
    <row r="127" spans="2:19" x14ac:dyDescent="0.3">
      <c r="B127" s="12" t="str">
        <v>TFM121</v>
      </c>
      <c r="C127" s="13">
        <v>46269</v>
      </c>
      <c r="D127" s="12" t="str">
        <v>Tuna</v>
      </c>
      <c r="E127" s="12" t="str">
        <v>San Marino</v>
      </c>
      <c r="F127" s="12" t="str">
        <v>Chili</v>
      </c>
      <c r="G127" s="12">
        <v>1</v>
      </c>
      <c r="H127" s="12">
        <v>3</v>
      </c>
      <c r="I127" s="12">
        <v>3</v>
      </c>
      <c r="J127" s="12">
        <v>89.55</v>
      </c>
      <c r="K127" s="12">
        <v>29.849999999999998</v>
      </c>
      <c r="L127" s="11">
        <v>32</v>
      </c>
      <c r="M127" s="12">
        <v>2.1500000000000021</v>
      </c>
      <c r="N127" s="12">
        <v>6.4500000000000064</v>
      </c>
      <c r="O127" s="12">
        <v>0</v>
      </c>
      <c r="P127" s="12">
        <v>3</v>
      </c>
      <c r="Q127" s="12">
        <v>0</v>
      </c>
      <c r="R127" s="12">
        <v>0</v>
      </c>
      <c r="S127" s="12" t="str">
        <v>Available</v>
      </c>
    </row>
    <row r="128" spans="2:19" x14ac:dyDescent="0.3">
      <c r="B128" s="12" t="str">
        <v>TFM122</v>
      </c>
      <c r="C128" s="13">
        <v>46269</v>
      </c>
      <c r="D128" s="12" t="str">
        <v>Tuna</v>
      </c>
      <c r="E128" s="12" t="str">
        <v>San Marino</v>
      </c>
      <c r="F128" s="12" t="str">
        <v>Corned Tuna 100g</v>
      </c>
      <c r="G128" s="12">
        <v>1</v>
      </c>
      <c r="H128" s="12">
        <v>3</v>
      </c>
      <c r="I128" s="12">
        <v>3</v>
      </c>
      <c r="J128" s="12">
        <v>89.55</v>
      </c>
      <c r="K128" s="12">
        <v>29.849999999999998</v>
      </c>
      <c r="L128" s="11">
        <v>32</v>
      </c>
      <c r="M128" s="12">
        <v>2.1500000000000021</v>
      </c>
      <c r="N128" s="12">
        <v>6.4500000000000064</v>
      </c>
      <c r="O128" s="12">
        <v>0</v>
      </c>
      <c r="P128" s="12">
        <v>3</v>
      </c>
      <c r="Q128" s="12">
        <v>0</v>
      </c>
      <c r="R128" s="12">
        <v>0</v>
      </c>
      <c r="S128" s="12" t="str">
        <v>Available</v>
      </c>
    </row>
    <row r="129" spans="2:19" x14ac:dyDescent="0.3">
      <c r="B129" s="12" t="str">
        <v>TFM123</v>
      </c>
      <c r="C129" s="13">
        <v>46269</v>
      </c>
      <c r="D129" s="12" t="str">
        <v>Tuna</v>
      </c>
      <c r="E129" s="12" t="str">
        <v>Century Tuna</v>
      </c>
      <c r="F129" s="12" t="str">
        <v>Flakes</v>
      </c>
      <c r="G129" s="12">
        <v>1</v>
      </c>
      <c r="H129" s="12">
        <v>3</v>
      </c>
      <c r="I129" s="12">
        <v>3</v>
      </c>
      <c r="J129" s="12">
        <v>110.85</v>
      </c>
      <c r="K129" s="12">
        <v>36.949999999999996</v>
      </c>
      <c r="L129" s="11">
        <v>39</v>
      </c>
      <c r="M129" s="12">
        <v>2.0500000000000043</v>
      </c>
      <c r="N129" s="12">
        <v>6.1500000000000128</v>
      </c>
      <c r="O129" s="12">
        <v>0</v>
      </c>
      <c r="P129" s="12">
        <v>3</v>
      </c>
      <c r="Q129" s="12">
        <v>0</v>
      </c>
      <c r="R129" s="12">
        <v>0</v>
      </c>
      <c r="S129" s="12" t="str">
        <v>Available</v>
      </c>
    </row>
    <row r="130" spans="2:19" x14ac:dyDescent="0.3">
      <c r="B130" s="12" t="str">
        <v>JFM124</v>
      </c>
      <c r="C130" s="13">
        <v>46269</v>
      </c>
      <c r="D130" s="12" t="str">
        <v>Juice</v>
      </c>
      <c r="E130" s="12" t="str">
        <v>Nestea</v>
      </c>
      <c r="F130" s="12" t="str">
        <v>Apple</v>
      </c>
      <c r="G130" s="12">
        <v>1</v>
      </c>
      <c r="H130" s="12">
        <v>18</v>
      </c>
      <c r="I130" s="12">
        <v>18</v>
      </c>
      <c r="J130" s="12">
        <v>349.2</v>
      </c>
      <c r="K130" s="12">
        <v>19.399999999999999</v>
      </c>
      <c r="L130" s="11">
        <v>21</v>
      </c>
      <c r="M130" s="12">
        <v>1.6000000000000014</v>
      </c>
      <c r="N130" s="12">
        <v>28.800000000000026</v>
      </c>
      <c r="O130" s="12">
        <v>1</v>
      </c>
      <c r="P130" s="12">
        <v>17</v>
      </c>
      <c r="Q130" s="12">
        <v>21</v>
      </c>
      <c r="R130" s="12">
        <v>1.6000000000000014</v>
      </c>
      <c r="S130" s="12" t="str">
        <v>Available</v>
      </c>
    </row>
    <row r="131" spans="2:19" x14ac:dyDescent="0.3">
      <c r="B131" s="12" t="str">
        <v>JFM125</v>
      </c>
      <c r="C131" s="13">
        <v>46269</v>
      </c>
      <c r="D131" s="12" t="str">
        <v>Juice</v>
      </c>
      <c r="E131" s="12" t="str">
        <v>Nestea</v>
      </c>
      <c r="F131" s="12" t="str">
        <v>Lemon</v>
      </c>
      <c r="G131" s="12">
        <v>1</v>
      </c>
      <c r="H131" s="12">
        <v>7</v>
      </c>
      <c r="I131" s="12">
        <v>7</v>
      </c>
      <c r="J131" s="12">
        <v>135.80000000000001</v>
      </c>
      <c r="K131" s="12">
        <v>19.400000000000002</v>
      </c>
      <c r="L131" s="11">
        <v>21</v>
      </c>
      <c r="M131" s="12">
        <v>1.5999999999999979</v>
      </c>
      <c r="N131" s="12">
        <v>11.199999999999985</v>
      </c>
      <c r="O131" s="12">
        <v>1</v>
      </c>
      <c r="P131" s="12">
        <v>6</v>
      </c>
      <c r="Q131" s="12">
        <v>21</v>
      </c>
      <c r="R131" s="12">
        <v>1.5999999999999979</v>
      </c>
      <c r="S131" s="12" t="str">
        <v>Available</v>
      </c>
    </row>
    <row r="132" spans="2:19" x14ac:dyDescent="0.3">
      <c r="B132" s="12" t="str">
        <v>MFM126</v>
      </c>
      <c r="C132" s="13">
        <v>46269</v>
      </c>
      <c r="D132" s="12" t="str">
        <v>Milk</v>
      </c>
      <c r="E132" s="12" t="str">
        <v>Alaska</v>
      </c>
      <c r="F132" s="12" t="str">
        <v>Condensed 40gx6</v>
      </c>
      <c r="G132" s="12">
        <v>2</v>
      </c>
      <c r="H132" s="12">
        <v>6</v>
      </c>
      <c r="I132" s="12">
        <v>12</v>
      </c>
      <c r="J132" s="12">
        <v>69</v>
      </c>
      <c r="K132" s="12">
        <v>5.75</v>
      </c>
      <c r="L132" s="11">
        <v>7</v>
      </c>
      <c r="M132" s="12">
        <v>1.25</v>
      </c>
      <c r="N132" s="12">
        <v>15</v>
      </c>
      <c r="O132" s="12">
        <v>0</v>
      </c>
      <c r="P132" s="12">
        <v>12</v>
      </c>
      <c r="Q132" s="12">
        <v>0</v>
      </c>
      <c r="R132" s="12">
        <v>0</v>
      </c>
      <c r="S132" s="12" t="str">
        <v>Available</v>
      </c>
    </row>
    <row r="133" spans="2:19" x14ac:dyDescent="0.3">
      <c r="B133" s="12" t="str">
        <v>PFM127</v>
      </c>
      <c r="C133" s="13">
        <v>46269</v>
      </c>
      <c r="D133" s="12" t="str">
        <v>Pineapple</v>
      </c>
      <c r="E133" s="12" t="str">
        <v>Del Monte</v>
      </c>
      <c r="F133" s="12" t="str">
        <v>Tidbits</v>
      </c>
      <c r="G133" s="12">
        <v>1</v>
      </c>
      <c r="H133" s="12">
        <v>3</v>
      </c>
      <c r="I133" s="12">
        <v>3</v>
      </c>
      <c r="J133" s="12">
        <v>48.75</v>
      </c>
      <c r="K133" s="12">
        <v>16.25</v>
      </c>
      <c r="L133" s="11">
        <v>19</v>
      </c>
      <c r="M133" s="12">
        <v>2.75</v>
      </c>
      <c r="N133" s="12">
        <v>8.25</v>
      </c>
      <c r="O133" s="12">
        <v>0</v>
      </c>
      <c r="P133" s="12">
        <v>3</v>
      </c>
      <c r="Q133" s="12">
        <v>0</v>
      </c>
      <c r="R133" s="12">
        <v>0</v>
      </c>
      <c r="S133" s="12" t="str">
        <v>Available</v>
      </c>
    </row>
    <row r="134" spans="2:19" x14ac:dyDescent="0.3">
      <c r="B134" s="12" t="str">
        <v>SFM128</v>
      </c>
      <c r="C134" s="13">
        <v>46269</v>
      </c>
      <c r="D134" s="12" t="str">
        <v>Sardines</v>
      </c>
      <c r="E134" s="12" t="str">
        <v>Mega</v>
      </c>
      <c r="F134" s="12" t="str">
        <v>Red 155g</v>
      </c>
      <c r="G134" s="12">
        <v>1</v>
      </c>
      <c r="H134" s="12">
        <v>3</v>
      </c>
      <c r="I134" s="12">
        <v>3</v>
      </c>
      <c r="J134" s="12">
        <v>75.900000000000006</v>
      </c>
      <c r="K134" s="12">
        <v>25.3</v>
      </c>
      <c r="L134" s="11">
        <v>28</v>
      </c>
      <c r="M134" s="12">
        <v>2.6999999999999993</v>
      </c>
      <c r="N134" s="12">
        <v>8.0999999999999979</v>
      </c>
      <c r="O134" s="12">
        <v>0</v>
      </c>
      <c r="P134" s="12">
        <v>3</v>
      </c>
      <c r="Q134" s="12">
        <v>0</v>
      </c>
      <c r="R134" s="12">
        <v>0</v>
      </c>
      <c r="S134" s="12" t="str">
        <v>Available</v>
      </c>
    </row>
    <row r="135" spans="2:19" x14ac:dyDescent="0.3">
      <c r="B135" s="12" t="str">
        <v>SFM129</v>
      </c>
      <c r="C135" s="13">
        <v>46269</v>
      </c>
      <c r="D135" s="12" t="str">
        <v>Sardines</v>
      </c>
      <c r="E135" s="12" t="str">
        <v>Mega</v>
      </c>
      <c r="F135" s="12" t="str">
        <v>Green</v>
      </c>
      <c r="G135" s="12">
        <v>1</v>
      </c>
      <c r="H135" s="12">
        <v>3</v>
      </c>
      <c r="I135" s="12">
        <v>3</v>
      </c>
      <c r="J135" s="12">
        <v>75</v>
      </c>
      <c r="K135" s="12">
        <v>25</v>
      </c>
      <c r="L135" s="11">
        <v>28</v>
      </c>
      <c r="M135" s="12">
        <v>3</v>
      </c>
      <c r="N135" s="12">
        <v>9</v>
      </c>
      <c r="O135" s="12">
        <v>0</v>
      </c>
      <c r="P135" s="12">
        <v>3</v>
      </c>
      <c r="Q135" s="12">
        <v>0</v>
      </c>
      <c r="R135" s="12">
        <v>0</v>
      </c>
      <c r="S135" s="12" t="str">
        <v>Available</v>
      </c>
    </row>
    <row r="136" spans="2:19" x14ac:dyDescent="0.3">
      <c r="B136" s="12" t="str">
        <v>EFM130</v>
      </c>
      <c r="C136" s="13">
        <v>46269</v>
      </c>
      <c r="D136" s="12" t="str">
        <v>Egg</v>
      </c>
      <c r="E136" s="12" t="str">
        <v>Egg</v>
      </c>
      <c r="F136" s="12" t="str">
        <v>Egg White</v>
      </c>
      <c r="G136" s="12">
        <v>1</v>
      </c>
      <c r="H136" s="12">
        <v>30</v>
      </c>
      <c r="I136" s="12">
        <v>30</v>
      </c>
      <c r="J136" s="12">
        <v>275</v>
      </c>
      <c r="K136" s="12">
        <v>9.1666666666666661</v>
      </c>
      <c r="L136" s="11">
        <v>11</v>
      </c>
      <c r="M136" s="12">
        <v>1.8333333333333339</v>
      </c>
      <c r="N136" s="12">
        <v>55.000000000000014</v>
      </c>
      <c r="O136" s="12">
        <v>4</v>
      </c>
      <c r="P136" s="12">
        <v>26</v>
      </c>
      <c r="Q136" s="12">
        <v>44</v>
      </c>
      <c r="R136" s="12">
        <v>7.3333333333333357</v>
      </c>
      <c r="S136" s="12" t="str">
        <v>Available</v>
      </c>
    </row>
    <row r="137" spans="2:19" x14ac:dyDescent="0.3">
      <c r="B137" s="12" t="str">
        <v>FFM131</v>
      </c>
      <c r="C137" s="13">
        <v>46269</v>
      </c>
      <c r="D137" s="12" t="str">
        <v>Fixed-Rice</v>
      </c>
      <c r="E137" s="12" t="str">
        <v>Jasmine</v>
      </c>
      <c r="F137" s="12" t="str">
        <v>25kl</v>
      </c>
      <c r="G137" s="12">
        <v>1</v>
      </c>
      <c r="H137" s="12">
        <v>25</v>
      </c>
      <c r="I137" s="12">
        <v>25</v>
      </c>
      <c r="J137" s="12">
        <v>60</v>
      </c>
      <c r="K137" s="12">
        <v>1500</v>
      </c>
      <c r="L137" s="11">
        <v>60</v>
      </c>
      <c r="M137" s="12">
        <v>5</v>
      </c>
      <c r="N137" s="12">
        <v>125</v>
      </c>
      <c r="O137" s="12">
        <v>5</v>
      </c>
      <c r="P137" s="12">
        <v>20</v>
      </c>
      <c r="Q137" s="12">
        <v>300</v>
      </c>
      <c r="R137" s="12">
        <v>25</v>
      </c>
      <c r="S137" s="12" t="str">
        <v>Available</v>
      </c>
    </row>
    <row r="138" spans="2:19" x14ac:dyDescent="0.3">
      <c r="B138" s="12" t="str">
        <v>CFM132</v>
      </c>
      <c r="C138" s="13">
        <v>46269</v>
      </c>
      <c r="D138" s="12" t="str">
        <v>Corned Beef</v>
      </c>
      <c r="E138" s="12" t="str">
        <v>Argentina</v>
      </c>
      <c r="F138" s="12" t="str">
        <v>150g</v>
      </c>
      <c r="G138" s="12">
        <v>1</v>
      </c>
      <c r="H138" s="12">
        <v>3</v>
      </c>
      <c r="I138" s="12">
        <v>3</v>
      </c>
      <c r="J138" s="12">
        <v>105.9</v>
      </c>
      <c r="K138" s="12">
        <v>35.300000000000004</v>
      </c>
      <c r="L138" s="11">
        <v>38</v>
      </c>
      <c r="M138" s="12">
        <v>2.6999999999999957</v>
      </c>
      <c r="N138" s="12">
        <v>8.0999999999999872</v>
      </c>
      <c r="O138" s="12">
        <v>0</v>
      </c>
      <c r="P138" s="12">
        <v>3</v>
      </c>
      <c r="Q138" s="12">
        <v>0</v>
      </c>
      <c r="R138" s="12">
        <v>0</v>
      </c>
      <c r="S138" s="12" t="str">
        <v>Available</v>
      </c>
    </row>
    <row r="139" spans="2:19" x14ac:dyDescent="0.3">
      <c r="B139" s="12" t="str">
        <v>MFM133</v>
      </c>
      <c r="C139" s="13">
        <v>46269</v>
      </c>
      <c r="D139" s="12" t="str">
        <v>Meat Loaf</v>
      </c>
      <c r="E139" s="12" t="str">
        <v>Argentina</v>
      </c>
      <c r="F139" s="12" t="str">
        <v>150g</v>
      </c>
      <c r="G139" s="12">
        <v>1</v>
      </c>
      <c r="H139" s="12">
        <v>3</v>
      </c>
      <c r="I139" s="12">
        <v>3</v>
      </c>
      <c r="J139" s="12">
        <v>63.75</v>
      </c>
      <c r="K139" s="12">
        <v>21.25</v>
      </c>
      <c r="L139" s="11">
        <v>24</v>
      </c>
      <c r="M139" s="12">
        <v>2.75</v>
      </c>
      <c r="N139" s="12">
        <v>8.25</v>
      </c>
      <c r="O139" s="12">
        <v>0</v>
      </c>
      <c r="P139" s="12">
        <v>3</v>
      </c>
      <c r="Q139" s="12">
        <v>0</v>
      </c>
      <c r="R139" s="12">
        <v>0</v>
      </c>
      <c r="S139" s="12" t="str">
        <v>Available</v>
      </c>
    </row>
    <row r="140" spans="2:19" x14ac:dyDescent="0.3">
      <c r="B140" s="12" t="str">
        <v>BFM134</v>
      </c>
      <c r="C140" s="13">
        <v>46269</v>
      </c>
      <c r="D140" s="12" t="str">
        <v>Beans</v>
      </c>
      <c r="E140" s="12" t="str">
        <v>Hunts</v>
      </c>
      <c r="F140" s="12" t="str">
        <v>Pork and Beans</v>
      </c>
      <c r="G140" s="12">
        <v>1</v>
      </c>
      <c r="H140" s="12">
        <v>2</v>
      </c>
      <c r="I140" s="12">
        <v>2</v>
      </c>
      <c r="J140" s="12">
        <v>65</v>
      </c>
      <c r="K140" s="12">
        <v>32.5</v>
      </c>
      <c r="L140" s="11">
        <v>35</v>
      </c>
      <c r="M140" s="12">
        <v>2.5</v>
      </c>
      <c r="N140" s="12">
        <v>5</v>
      </c>
      <c r="O140" s="12">
        <v>0</v>
      </c>
      <c r="P140" s="12">
        <v>2</v>
      </c>
      <c r="Q140" s="12">
        <v>0</v>
      </c>
      <c r="R140" s="12">
        <v>0</v>
      </c>
      <c r="S140" s="12" t="str">
        <v>Available</v>
      </c>
    </row>
    <row r="141" spans="2:19" x14ac:dyDescent="0.3">
      <c r="B141" s="12" t="str">
        <v>SFM135</v>
      </c>
      <c r="C141" s="13">
        <v>46269</v>
      </c>
      <c r="D141" s="12" t="str">
        <v>Sardines</v>
      </c>
      <c r="E141" s="12" t="str">
        <v>Ligo</v>
      </c>
      <c r="F141" s="12" t="str">
        <v>Red</v>
      </c>
      <c r="G141" s="12">
        <v>1</v>
      </c>
      <c r="H141" s="12">
        <v>3</v>
      </c>
      <c r="I141" s="12">
        <v>3</v>
      </c>
      <c r="J141" s="12">
        <v>74.400000000000006</v>
      </c>
      <c r="K141" s="12">
        <v>24.8</v>
      </c>
      <c r="L141" s="11">
        <v>27</v>
      </c>
      <c r="M141" s="12">
        <v>2.1999999999999993</v>
      </c>
      <c r="N141" s="12">
        <v>6.5999999999999979</v>
      </c>
      <c r="O141" s="12">
        <v>0</v>
      </c>
      <c r="P141" s="12">
        <v>3</v>
      </c>
      <c r="Q141" s="12">
        <v>0</v>
      </c>
      <c r="R141" s="12">
        <v>0</v>
      </c>
      <c r="S141" s="12" t="str">
        <v>Available</v>
      </c>
    </row>
    <row r="142" spans="2:19" x14ac:dyDescent="0.3">
      <c r="B142" s="12" t="str">
        <v>SFM136</v>
      </c>
      <c r="C142" s="13">
        <v>46269</v>
      </c>
      <c r="D142" s="12" t="str">
        <v>Sardines</v>
      </c>
      <c r="E142" s="12">
        <v>555</v>
      </c>
      <c r="F142" s="12" t="str">
        <v>Green</v>
      </c>
      <c r="G142" s="12">
        <v>1</v>
      </c>
      <c r="H142" s="12">
        <v>2</v>
      </c>
      <c r="I142" s="12">
        <v>2</v>
      </c>
      <c r="J142" s="12">
        <v>45.3</v>
      </c>
      <c r="K142" s="12">
        <v>22.65</v>
      </c>
      <c r="L142" s="11">
        <v>25</v>
      </c>
      <c r="M142" s="12">
        <v>2.3500000000000014</v>
      </c>
      <c r="N142" s="12">
        <v>4.7000000000000028</v>
      </c>
      <c r="O142" s="12">
        <v>0</v>
      </c>
      <c r="P142" s="12">
        <v>2</v>
      </c>
      <c r="Q142" s="12">
        <v>0</v>
      </c>
      <c r="R142" s="12">
        <v>0</v>
      </c>
      <c r="S142" s="12" t="str">
        <v>Available</v>
      </c>
    </row>
    <row r="143" spans="2:19" x14ac:dyDescent="0.3">
      <c r="B143" s="12" t="str">
        <v>SFM137</v>
      </c>
      <c r="C143" s="13">
        <v>46269</v>
      </c>
      <c r="D143" s="12" t="str">
        <v>Sardines</v>
      </c>
      <c r="E143" s="12" t="str">
        <v>Youngstown</v>
      </c>
      <c r="F143" s="12" t="str">
        <v>Green</v>
      </c>
      <c r="G143" s="12">
        <v>1</v>
      </c>
      <c r="H143" s="12">
        <v>2</v>
      </c>
      <c r="I143" s="12">
        <v>2</v>
      </c>
      <c r="J143" s="12">
        <v>46.2</v>
      </c>
      <c r="K143" s="12">
        <v>23.1</v>
      </c>
      <c r="L143" s="11">
        <v>26</v>
      </c>
      <c r="M143" s="12">
        <v>2.8999999999999986</v>
      </c>
      <c r="N143" s="12">
        <v>5.7999999999999972</v>
      </c>
      <c r="O143" s="12">
        <v>0</v>
      </c>
      <c r="P143" s="12">
        <v>2</v>
      </c>
      <c r="Q143" s="12">
        <v>0</v>
      </c>
      <c r="R143" s="12">
        <v>0</v>
      </c>
      <c r="S143" s="12" t="str">
        <v>Available</v>
      </c>
    </row>
    <row r="144" spans="2:19" x14ac:dyDescent="0.3">
      <c r="B144" s="12" t="str">
        <v>SFM138</v>
      </c>
      <c r="C144" s="13">
        <v>46269</v>
      </c>
      <c r="D144" s="12" t="str">
        <v>Sardines</v>
      </c>
      <c r="E144" s="12">
        <v>555</v>
      </c>
      <c r="F144" s="12" t="str">
        <v>Spanish</v>
      </c>
      <c r="G144" s="12">
        <v>1</v>
      </c>
      <c r="H144" s="12">
        <v>2</v>
      </c>
      <c r="I144" s="12">
        <v>2</v>
      </c>
      <c r="J144" s="12">
        <v>62.7</v>
      </c>
      <c r="K144" s="12">
        <v>31.35</v>
      </c>
      <c r="L144" s="11">
        <v>34</v>
      </c>
      <c r="M144" s="12">
        <v>2.6499999999999986</v>
      </c>
      <c r="N144" s="12">
        <v>5.2999999999999972</v>
      </c>
      <c r="O144" s="12">
        <v>0</v>
      </c>
      <c r="P144" s="12">
        <v>2</v>
      </c>
      <c r="Q144" s="12">
        <v>0</v>
      </c>
      <c r="R144" s="12">
        <v>0</v>
      </c>
      <c r="S144" s="12" t="str">
        <v>Available</v>
      </c>
    </row>
    <row r="145" spans="2:19" x14ac:dyDescent="0.3">
      <c r="B145" s="12" t="str">
        <v>SFM139</v>
      </c>
      <c r="C145" s="13">
        <v>46269</v>
      </c>
      <c r="D145" s="12" t="str">
        <v>Sardines</v>
      </c>
      <c r="E145" s="12" t="str">
        <v>Ligo</v>
      </c>
      <c r="F145" s="12" t="str">
        <v>Easy Open Green</v>
      </c>
      <c r="G145" s="12">
        <v>1</v>
      </c>
      <c r="H145" s="12">
        <v>3</v>
      </c>
      <c r="I145" s="12">
        <v>3</v>
      </c>
      <c r="J145" s="12">
        <v>73.8</v>
      </c>
      <c r="K145" s="12">
        <v>24.599999999999998</v>
      </c>
      <c r="L145" s="11">
        <v>27</v>
      </c>
      <c r="M145" s="12">
        <v>2.4000000000000021</v>
      </c>
      <c r="N145" s="12">
        <v>7.2000000000000064</v>
      </c>
      <c r="O145" s="12">
        <v>0</v>
      </c>
      <c r="P145" s="12">
        <v>3</v>
      </c>
      <c r="Q145" s="12">
        <v>0</v>
      </c>
      <c r="R145" s="12">
        <v>0</v>
      </c>
      <c r="S145" s="12" t="str">
        <v>Available</v>
      </c>
    </row>
    <row r="146" spans="2:19" x14ac:dyDescent="0.3">
      <c r="B146" s="12" t="str">
        <v>MFM140</v>
      </c>
      <c r="C146" s="13">
        <v>46269</v>
      </c>
      <c r="D146" s="12" t="str">
        <v>Milk</v>
      </c>
      <c r="E146" s="12" t="str">
        <v>Alaska</v>
      </c>
      <c r="F146" s="12" t="str">
        <v>Evaporada 140ml</v>
      </c>
      <c r="G146" s="12">
        <v>1</v>
      </c>
      <c r="H146" s="12">
        <v>2</v>
      </c>
      <c r="I146" s="12">
        <v>2</v>
      </c>
      <c r="J146" s="12">
        <v>39.5</v>
      </c>
      <c r="K146" s="12">
        <v>19.75</v>
      </c>
      <c r="L146" s="11">
        <v>22</v>
      </c>
      <c r="M146" s="12">
        <v>2.25</v>
      </c>
      <c r="N146" s="12">
        <v>4.5</v>
      </c>
      <c r="O146" s="12">
        <v>0</v>
      </c>
      <c r="P146" s="12">
        <v>2</v>
      </c>
      <c r="Q146" s="12">
        <v>0</v>
      </c>
      <c r="R146" s="12">
        <v>0</v>
      </c>
      <c r="S146" s="12" t="str">
        <v>Available</v>
      </c>
    </row>
    <row r="147" spans="2:19" x14ac:dyDescent="0.3">
      <c r="B147" s="12" t="str">
        <v>MFM141</v>
      </c>
      <c r="C147" s="13">
        <v>46269</v>
      </c>
      <c r="D147" s="12" t="str">
        <v>Milk</v>
      </c>
      <c r="E147" s="12" t="str">
        <v>Alaska</v>
      </c>
      <c r="F147" s="12" t="str">
        <v>Evaporada 370ml</v>
      </c>
      <c r="G147" s="12">
        <v>1</v>
      </c>
      <c r="H147" s="12">
        <v>3</v>
      </c>
      <c r="I147" s="12">
        <v>3</v>
      </c>
      <c r="J147" s="12">
        <v>104.25</v>
      </c>
      <c r="K147" s="12">
        <v>34.75</v>
      </c>
      <c r="L147" s="11">
        <v>37</v>
      </c>
      <c r="M147" s="12">
        <v>2.25</v>
      </c>
      <c r="N147" s="12">
        <v>6.75</v>
      </c>
      <c r="O147" s="12">
        <v>0</v>
      </c>
      <c r="P147" s="12">
        <v>3</v>
      </c>
      <c r="Q147" s="12">
        <v>0</v>
      </c>
      <c r="R147" s="12">
        <v>0</v>
      </c>
      <c r="S147" s="12" t="str">
        <v>Available</v>
      </c>
    </row>
    <row r="148" spans="2:19" x14ac:dyDescent="0.3">
      <c r="B148" s="12" t="str">
        <v>AFM142</v>
      </c>
      <c r="C148" s="13">
        <v>46269</v>
      </c>
      <c r="D148" s="12" t="str">
        <v>Alcohol</v>
      </c>
      <c r="E148" s="12" t="str">
        <v>Alfonso</v>
      </c>
      <c r="F148" s="12" t="str">
        <v>Light 1l</v>
      </c>
      <c r="G148" s="12">
        <v>1</v>
      </c>
      <c r="H148" s="12">
        <v>2</v>
      </c>
      <c r="I148" s="12">
        <v>2</v>
      </c>
      <c r="J148" s="12">
        <v>562</v>
      </c>
      <c r="K148" s="12">
        <v>281</v>
      </c>
      <c r="L148" s="11">
        <v>295</v>
      </c>
      <c r="M148" s="12">
        <v>14</v>
      </c>
      <c r="N148" s="12">
        <v>28</v>
      </c>
      <c r="O148" s="12">
        <v>0</v>
      </c>
      <c r="P148" s="12">
        <v>2</v>
      </c>
      <c r="Q148" s="12">
        <v>0</v>
      </c>
      <c r="R148" s="12">
        <v>0</v>
      </c>
      <c r="S148" s="12" t="str">
        <v>Available</v>
      </c>
    </row>
    <row r="149" spans="2:19" x14ac:dyDescent="0.3">
      <c r="B149" s="12" t="str">
        <v>AFM143</v>
      </c>
      <c r="C149" s="13">
        <v>46269</v>
      </c>
      <c r="D149" s="12" t="str">
        <v>Alcohol</v>
      </c>
      <c r="E149" s="12" t="str">
        <v>Emperador</v>
      </c>
      <c r="F149" s="12" t="str">
        <v>Light 750ml</v>
      </c>
      <c r="G149" s="12">
        <v>1</v>
      </c>
      <c r="H149" s="12">
        <v>2</v>
      </c>
      <c r="I149" s="12">
        <v>2</v>
      </c>
      <c r="J149" s="12">
        <v>279</v>
      </c>
      <c r="K149" s="12">
        <v>139.5</v>
      </c>
      <c r="L149" s="11">
        <v>150</v>
      </c>
      <c r="M149" s="12">
        <v>10.5</v>
      </c>
      <c r="N149" s="12">
        <v>21</v>
      </c>
      <c r="O149" s="12">
        <v>0</v>
      </c>
      <c r="P149" s="12">
        <v>2</v>
      </c>
      <c r="Q149" s="12">
        <v>0</v>
      </c>
      <c r="R149" s="12">
        <v>0</v>
      </c>
      <c r="S149" s="12" t="str">
        <v>Available</v>
      </c>
    </row>
    <row r="150" spans="2:19" x14ac:dyDescent="0.3">
      <c r="B150" s="12" t="str">
        <v>JFM144</v>
      </c>
      <c r="C150" s="13">
        <v>46269</v>
      </c>
      <c r="D150" s="12" t="str">
        <v>Juice</v>
      </c>
      <c r="E150" s="12" t="str">
        <v>Big 250</v>
      </c>
      <c r="F150" s="12" t="str">
        <v>Orange</v>
      </c>
      <c r="G150" s="12">
        <v>1</v>
      </c>
      <c r="H150" s="12">
        <v>10</v>
      </c>
      <c r="I150" s="12">
        <v>10</v>
      </c>
      <c r="J150" s="12">
        <v>92</v>
      </c>
      <c r="K150" s="12">
        <v>9.1999999999999993</v>
      </c>
      <c r="L150" s="11">
        <v>13</v>
      </c>
      <c r="M150" s="12">
        <v>3.8000000000000007</v>
      </c>
      <c r="N150" s="12">
        <v>38.000000000000007</v>
      </c>
      <c r="O150" s="12">
        <v>0</v>
      </c>
      <c r="P150" s="12">
        <v>10</v>
      </c>
      <c r="Q150" s="12">
        <v>0</v>
      </c>
      <c r="R150" s="12">
        <v>0</v>
      </c>
      <c r="S150" s="12" t="str">
        <v>Available</v>
      </c>
    </row>
    <row r="151" spans="2:19" x14ac:dyDescent="0.3">
      <c r="B151" s="12" t="str">
        <v>JFM145</v>
      </c>
      <c r="C151" s="13">
        <v>46269</v>
      </c>
      <c r="D151" s="12" t="str">
        <v>Juice</v>
      </c>
      <c r="E151" s="12" t="str">
        <v>Big 250</v>
      </c>
      <c r="F151" s="12" t="str">
        <v>Apple</v>
      </c>
      <c r="G151" s="12">
        <v>1</v>
      </c>
      <c r="H151" s="12">
        <v>10</v>
      </c>
      <c r="I151" s="12">
        <v>10</v>
      </c>
      <c r="J151" s="12">
        <v>92</v>
      </c>
      <c r="K151" s="12">
        <v>9.1999999999999993</v>
      </c>
      <c r="L151" s="11">
        <v>13</v>
      </c>
      <c r="M151" s="12">
        <v>3.8000000000000007</v>
      </c>
      <c r="N151" s="12">
        <v>38.000000000000007</v>
      </c>
      <c r="O151" s="12">
        <v>0</v>
      </c>
      <c r="P151" s="12">
        <v>10</v>
      </c>
      <c r="Q151" s="12">
        <v>0</v>
      </c>
      <c r="R151" s="12">
        <v>0</v>
      </c>
      <c r="S151" s="12" t="str">
        <v>Available</v>
      </c>
    </row>
    <row r="152" spans="2:19" x14ac:dyDescent="0.3">
      <c r="B152" s="12" t="str">
        <v>JFM146</v>
      </c>
      <c r="C152" s="13">
        <v>46269</v>
      </c>
      <c r="D152" s="12" t="str">
        <v>Juice</v>
      </c>
      <c r="E152" s="12" t="str">
        <v>Big 250</v>
      </c>
      <c r="F152" s="12" t="str">
        <v>Mango</v>
      </c>
      <c r="G152" s="12">
        <v>1</v>
      </c>
      <c r="H152" s="12">
        <v>10</v>
      </c>
      <c r="I152" s="12">
        <v>10</v>
      </c>
      <c r="J152" s="12">
        <v>101</v>
      </c>
      <c r="K152" s="12">
        <v>10.1</v>
      </c>
      <c r="L152" s="11">
        <v>14</v>
      </c>
      <c r="M152" s="12">
        <v>3.9000000000000004</v>
      </c>
      <c r="N152" s="12">
        <v>39</v>
      </c>
      <c r="O152" s="12">
        <v>0</v>
      </c>
      <c r="P152" s="12">
        <v>10</v>
      </c>
      <c r="Q152" s="12">
        <v>0</v>
      </c>
      <c r="R152" s="12">
        <v>0</v>
      </c>
      <c r="S152" s="12" t="str">
        <v>Available</v>
      </c>
    </row>
    <row r="153" spans="2:19" x14ac:dyDescent="0.3">
      <c r="B153" s="12" t="str">
        <v>JFM147</v>
      </c>
      <c r="C153" s="13">
        <v>46269</v>
      </c>
      <c r="D153" s="12" t="str">
        <v>Juice</v>
      </c>
      <c r="E153" s="12" t="str">
        <v>Zest-O</v>
      </c>
      <c r="F153" s="12" t="str">
        <v>Choco 200ml</v>
      </c>
      <c r="G153" s="12">
        <v>1</v>
      </c>
      <c r="H153" s="12">
        <v>10</v>
      </c>
      <c r="I153" s="12">
        <v>10</v>
      </c>
      <c r="J153" s="12">
        <v>202</v>
      </c>
      <c r="K153" s="12">
        <v>20.2</v>
      </c>
      <c r="L153" s="11">
        <v>25</v>
      </c>
      <c r="M153" s="12">
        <v>4.8000000000000007</v>
      </c>
      <c r="N153" s="12">
        <v>48.000000000000007</v>
      </c>
      <c r="O153" s="12">
        <v>0</v>
      </c>
      <c r="P153" s="12">
        <v>10</v>
      </c>
      <c r="Q153" s="12">
        <v>0</v>
      </c>
      <c r="R153" s="12">
        <v>0</v>
      </c>
      <c r="S153" s="12" t="str">
        <v>Available</v>
      </c>
    </row>
    <row r="154" spans="2:19" x14ac:dyDescent="0.3">
      <c r="B154" s="12" t="str">
        <v>AFM148</v>
      </c>
      <c r="C154" s="13">
        <v>46269</v>
      </c>
      <c r="D154" s="12" t="str">
        <v>Alcohol</v>
      </c>
      <c r="E154" s="12" t="str">
        <v>Ginebra</v>
      </c>
      <c r="F154" s="12" t="str">
        <v>Round 350ml</v>
      </c>
      <c r="G154" s="12">
        <v>1</v>
      </c>
      <c r="H154" s="12">
        <v>7</v>
      </c>
      <c r="I154" s="12">
        <v>7</v>
      </c>
      <c r="J154" s="12">
        <v>491.75</v>
      </c>
      <c r="K154" s="12">
        <v>70.25</v>
      </c>
      <c r="L154" s="11">
        <v>80</v>
      </c>
      <c r="M154" s="12">
        <v>9.75</v>
      </c>
      <c r="N154" s="12">
        <v>68.25</v>
      </c>
      <c r="O154" s="12">
        <v>0</v>
      </c>
      <c r="P154" s="12">
        <v>7</v>
      </c>
      <c r="Q154" s="12">
        <v>0</v>
      </c>
      <c r="R154" s="12">
        <v>0</v>
      </c>
      <c r="S154" s="12" t="str">
        <v>Available</v>
      </c>
    </row>
    <row r="155" spans="2:19" x14ac:dyDescent="0.3">
      <c r="B155" s="12" t="str">
        <v>AFM149</v>
      </c>
      <c r="C155" s="13">
        <v>46269</v>
      </c>
      <c r="D155" s="12" t="str">
        <v>Alcohol</v>
      </c>
      <c r="E155" s="12" t="str">
        <v>Ginebra</v>
      </c>
      <c r="F155" s="12" t="str">
        <v>Frasco 700ml</v>
      </c>
      <c r="G155" s="12">
        <v>1</v>
      </c>
      <c r="H155" s="12">
        <v>2</v>
      </c>
      <c r="I155" s="12">
        <v>2</v>
      </c>
      <c r="J155" s="12">
        <v>285.5</v>
      </c>
      <c r="K155" s="12">
        <v>142.75</v>
      </c>
      <c r="L155" s="11">
        <v>150</v>
      </c>
      <c r="M155" s="12">
        <v>7.25</v>
      </c>
      <c r="N155" s="12">
        <v>14.5</v>
      </c>
      <c r="O155" s="12">
        <v>0</v>
      </c>
      <c r="P155" s="12">
        <v>2</v>
      </c>
      <c r="Q155" s="12">
        <v>0</v>
      </c>
      <c r="R155" s="12">
        <v>0</v>
      </c>
      <c r="S155" s="12" t="str">
        <v>Available</v>
      </c>
    </row>
    <row r="156" spans="2:19" x14ac:dyDescent="0.3">
      <c r="B156" s="12" t="str">
        <v>CFM150</v>
      </c>
      <c r="C156" s="13">
        <v>46269</v>
      </c>
      <c r="D156" s="12" t="str">
        <v>Cooking Oil</v>
      </c>
      <c r="E156" s="12" t="str">
        <v>Cooking Oil</v>
      </c>
      <c r="F156" s="12" t="str">
        <v>1 Bottle + 100 pcs Plastic</v>
      </c>
      <c r="G156" s="12">
        <v>1</v>
      </c>
      <c r="H156" s="12">
        <v>82</v>
      </c>
      <c r="I156" s="12">
        <v>82</v>
      </c>
      <c r="J156" s="12">
        <v>359</v>
      </c>
      <c r="K156" s="12">
        <v>4.3780487804878048</v>
      </c>
      <c r="L156" s="11">
        <v>5</v>
      </c>
      <c r="M156" s="12">
        <v>0.62195121951219523</v>
      </c>
      <c r="N156" s="12">
        <v>51.000000000000007</v>
      </c>
      <c r="O156" s="12">
        <v>8</v>
      </c>
      <c r="P156" s="12">
        <v>74</v>
      </c>
      <c r="Q156" s="12">
        <v>40</v>
      </c>
      <c r="R156" s="12">
        <v>4.9756097560975618</v>
      </c>
      <c r="S156" s="12" t="str">
        <v>Available</v>
      </c>
    </row>
    <row r="157" spans="2:19" x14ac:dyDescent="0.3">
      <c r="B157" s="12" t="str">
        <v>OFM151</v>
      </c>
      <c r="C157" s="13">
        <v>46269</v>
      </c>
      <c r="D157" s="12" t="str">
        <v>Onion</v>
      </c>
      <c r="E157" s="12" t="str">
        <v>Onion</v>
      </c>
      <c r="F157" s="12" t="str">
        <v>Onion</v>
      </c>
      <c r="G157" s="12">
        <v>1</v>
      </c>
      <c r="H157" s="12">
        <v>25</v>
      </c>
      <c r="I157" s="12">
        <v>25</v>
      </c>
      <c r="J157" s="12">
        <v>100</v>
      </c>
      <c r="K157" s="12">
        <v>4</v>
      </c>
      <c r="L157" s="11">
        <v>6</v>
      </c>
      <c r="M157" s="12">
        <v>2</v>
      </c>
      <c r="N157" s="12">
        <v>50</v>
      </c>
      <c r="O157" s="12">
        <v>4</v>
      </c>
      <c r="P157" s="12">
        <v>21</v>
      </c>
      <c r="Q157" s="12">
        <v>24</v>
      </c>
      <c r="R157" s="12">
        <v>8</v>
      </c>
      <c r="S157" s="12" t="str">
        <v>Available</v>
      </c>
    </row>
    <row r="158" spans="2:19" x14ac:dyDescent="0.3">
      <c r="B158" s="12" t="str">
        <v>GFM152</v>
      </c>
      <c r="C158" s="13">
        <v>46269</v>
      </c>
      <c r="D158" s="12" t="str">
        <v>Garlic</v>
      </c>
      <c r="E158" s="12" t="str">
        <v>Garlic</v>
      </c>
      <c r="F158" s="12" t="str">
        <v>Garlic</v>
      </c>
      <c r="G158" s="12">
        <v>1</v>
      </c>
      <c r="H158" s="12">
        <v>7</v>
      </c>
      <c r="I158" s="12">
        <v>7</v>
      </c>
      <c r="J158" s="12">
        <v>58</v>
      </c>
      <c r="K158" s="12">
        <v>8.2857142857142865</v>
      </c>
      <c r="L158" s="11">
        <v>11</v>
      </c>
      <c r="M158" s="12">
        <v>2.7142857142857135</v>
      </c>
      <c r="N158" s="12">
        <v>18.999999999999993</v>
      </c>
      <c r="O158" s="12">
        <v>1</v>
      </c>
      <c r="P158" s="12">
        <v>6</v>
      </c>
      <c r="Q158" s="12">
        <v>11</v>
      </c>
      <c r="R158" s="12">
        <v>2.7142857142857135</v>
      </c>
      <c r="S158" s="12" t="str">
        <v>Available</v>
      </c>
    </row>
    <row r="159" spans="2:19" x14ac:dyDescent="0.3">
      <c r="B159" s="12" t="str">
        <v>TFM153</v>
      </c>
      <c r="C159" s="13">
        <v>46269</v>
      </c>
      <c r="D159" s="12" t="str">
        <v>Tomato</v>
      </c>
      <c r="E159" s="12" t="str">
        <v>Tomato</v>
      </c>
      <c r="F159" s="12" t="str">
        <v>Tomato</v>
      </c>
      <c r="G159" s="12">
        <v>1</v>
      </c>
      <c r="H159" s="12">
        <v>22</v>
      </c>
      <c r="I159" s="12">
        <v>22</v>
      </c>
      <c r="J159" s="12">
        <v>99</v>
      </c>
      <c r="K159" s="12">
        <v>4.5</v>
      </c>
      <c r="L159" s="11">
        <v>7</v>
      </c>
      <c r="M159" s="12">
        <v>2.5</v>
      </c>
      <c r="N159" s="12">
        <v>55</v>
      </c>
      <c r="O159" s="12">
        <v>1</v>
      </c>
      <c r="P159" s="12">
        <v>21</v>
      </c>
      <c r="Q159" s="12">
        <v>7</v>
      </c>
      <c r="R159" s="12">
        <v>2.5</v>
      </c>
      <c r="S159" s="12" t="str">
        <v>Available</v>
      </c>
    </row>
    <row r="160" spans="2:19" x14ac:dyDescent="0.3">
      <c r="B160" s="12" t="str">
        <v>GFM154</v>
      </c>
      <c r="C160" s="13">
        <v>46269</v>
      </c>
      <c r="D160" s="12" t="str">
        <v>Ginger</v>
      </c>
      <c r="E160" s="12" t="str">
        <v>Ginger</v>
      </c>
      <c r="F160" s="12" t="str">
        <v>Ginger</v>
      </c>
      <c r="G160" s="12">
        <v>1</v>
      </c>
      <c r="H160" s="12">
        <v>6</v>
      </c>
      <c r="I160" s="12">
        <v>6</v>
      </c>
      <c r="J160" s="12">
        <v>78</v>
      </c>
      <c r="K160" s="12">
        <v>13</v>
      </c>
      <c r="L160" s="11">
        <v>15</v>
      </c>
      <c r="M160" s="12">
        <v>2</v>
      </c>
      <c r="N160" s="12">
        <v>12</v>
      </c>
      <c r="O160" s="12">
        <v>0</v>
      </c>
      <c r="P160" s="12">
        <v>6</v>
      </c>
      <c r="Q160" s="12">
        <v>0</v>
      </c>
      <c r="R160" s="12">
        <v>0</v>
      </c>
      <c r="S160" s="12" t="str">
        <v>Available</v>
      </c>
    </row>
    <row r="161" spans="2:19" x14ac:dyDescent="0.3">
      <c r="B161" s="12" t="str">
        <v>CFM155</v>
      </c>
      <c r="C161" s="13">
        <v>46269</v>
      </c>
      <c r="D161" s="12" t="str">
        <v>Creamer</v>
      </c>
      <c r="E161" s="12" t="str">
        <v>Nescafe</v>
      </c>
      <c r="F161" s="12" t="str">
        <v>Creamy White</v>
      </c>
      <c r="G161" s="12">
        <v>1</v>
      </c>
      <c r="H161" s="12">
        <v>10</v>
      </c>
      <c r="I161" s="12">
        <v>10</v>
      </c>
      <c r="J161" s="12">
        <v>120</v>
      </c>
      <c r="K161" s="12">
        <v>12</v>
      </c>
      <c r="L161" s="11">
        <v>14</v>
      </c>
      <c r="M161" s="12">
        <v>2</v>
      </c>
      <c r="N161" s="12">
        <v>20</v>
      </c>
      <c r="O161" s="12">
        <v>2</v>
      </c>
      <c r="P161" s="12">
        <v>8</v>
      </c>
      <c r="Q161" s="12">
        <v>28</v>
      </c>
      <c r="R161" s="12">
        <v>4</v>
      </c>
      <c r="S161" s="12" t="str">
        <v>Available</v>
      </c>
    </row>
    <row r="162" spans="2:19" x14ac:dyDescent="0.3">
      <c r="B162" s="12" t="str">
        <v>SNF156</v>
      </c>
      <c r="C162" s="13">
        <v>46269</v>
      </c>
      <c r="D162" s="12" t="str">
        <v>Sugar</v>
      </c>
      <c r="E162" s="12" t="str">
        <v>Sugar</v>
      </c>
      <c r="F162" s="12" t="str">
        <v>Brown</v>
      </c>
      <c r="G162" s="12">
        <v>1</v>
      </c>
      <c r="H162" s="12">
        <v>3</v>
      </c>
      <c r="I162" s="12">
        <v>3</v>
      </c>
      <c r="J162" s="12">
        <v>52.5</v>
      </c>
      <c r="K162" s="12">
        <v>17.5</v>
      </c>
      <c r="L162" s="11">
        <v>20</v>
      </c>
      <c r="M162" s="12">
        <v>2.5</v>
      </c>
      <c r="N162" s="12">
        <v>7.5</v>
      </c>
      <c r="O162" s="12">
        <v>0</v>
      </c>
      <c r="P162" s="12">
        <v>3</v>
      </c>
      <c r="Q162" s="12">
        <v>0</v>
      </c>
      <c r="R162" s="12">
        <v>0</v>
      </c>
      <c r="S162" s="12" t="str">
        <v>Available</v>
      </c>
    </row>
    <row r="163" spans="2:19" x14ac:dyDescent="0.3">
      <c r="B163" s="12" t="str">
        <v>SFM157</v>
      </c>
      <c r="C163" s="13">
        <v>46269</v>
      </c>
      <c r="D163" s="12" t="str">
        <v>Sotanghon</v>
      </c>
      <c r="E163" s="12" t="str">
        <v>Vermicelli</v>
      </c>
      <c r="F163" s="12" t="str">
        <v>Sotanghon</v>
      </c>
      <c r="G163" s="12">
        <v>1</v>
      </c>
      <c r="H163" s="12">
        <v>4</v>
      </c>
      <c r="I163" s="12">
        <v>4</v>
      </c>
      <c r="J163" s="12">
        <v>26</v>
      </c>
      <c r="K163" s="12">
        <v>6.5</v>
      </c>
      <c r="L163" s="11">
        <v>9</v>
      </c>
      <c r="M163" s="12">
        <v>2.5</v>
      </c>
      <c r="N163" s="12">
        <v>10</v>
      </c>
      <c r="O163" s="12">
        <v>0</v>
      </c>
      <c r="P163" s="12">
        <v>4</v>
      </c>
      <c r="Q163" s="12">
        <v>0</v>
      </c>
      <c r="R163" s="12">
        <v>0</v>
      </c>
      <c r="S163" s="12" t="str">
        <v>Available</v>
      </c>
    </row>
    <row r="164" spans="2:19" x14ac:dyDescent="0.3">
      <c r="B164" s="12" t="str">
        <v>CFM158</v>
      </c>
      <c r="C164" s="13">
        <v>46269</v>
      </c>
      <c r="D164" s="12" t="str">
        <v>Corned Beef</v>
      </c>
      <c r="E164" s="12" t="str">
        <v>Bingo</v>
      </c>
      <c r="F164" s="12" t="str">
        <v>150g</v>
      </c>
      <c r="G164" s="12">
        <v>1</v>
      </c>
      <c r="H164" s="12">
        <v>3</v>
      </c>
      <c r="I164" s="12">
        <v>3</v>
      </c>
      <c r="J164" s="12">
        <v>60.3</v>
      </c>
      <c r="K164" s="12">
        <v>20.099999999999998</v>
      </c>
      <c r="L164" s="11">
        <v>22</v>
      </c>
      <c r="M164" s="12">
        <v>1.9000000000000021</v>
      </c>
      <c r="N164" s="12">
        <v>5.7000000000000064</v>
      </c>
      <c r="O164" s="12">
        <v>0</v>
      </c>
      <c r="P164" s="12">
        <v>3</v>
      </c>
      <c r="Q164" s="12">
        <v>0</v>
      </c>
      <c r="R164" s="12">
        <v>0</v>
      </c>
      <c r="S164" s="12" t="str">
        <v>Available</v>
      </c>
    </row>
    <row r="165" spans="2:19" x14ac:dyDescent="0.3">
      <c r="B165" s="12" t="str">
        <v>SFM159</v>
      </c>
      <c r="C165" s="13">
        <v>46269</v>
      </c>
      <c r="D165" s="12" t="str">
        <v>Snacks</v>
      </c>
      <c r="E165" s="12" t="str">
        <v>Nova</v>
      </c>
      <c r="F165" s="12" t="str">
        <v>Country Cheddar</v>
      </c>
      <c r="G165" s="12">
        <v>1</v>
      </c>
      <c r="H165" s="12">
        <v>3</v>
      </c>
      <c r="I165" s="12">
        <v>3</v>
      </c>
      <c r="J165" s="12">
        <v>48</v>
      </c>
      <c r="K165" s="12">
        <v>16</v>
      </c>
      <c r="L165" s="11">
        <v>17</v>
      </c>
      <c r="M165" s="12">
        <v>1</v>
      </c>
      <c r="N165" s="12">
        <v>3</v>
      </c>
      <c r="O165" s="12">
        <v>0</v>
      </c>
      <c r="P165" s="12">
        <v>3</v>
      </c>
      <c r="Q165" s="12">
        <v>0</v>
      </c>
      <c r="R165" s="12">
        <v>0</v>
      </c>
      <c r="S165" s="12" t="str">
        <v>Available</v>
      </c>
    </row>
    <row r="166" spans="2:19" x14ac:dyDescent="0.3">
      <c r="B166" s="12" t="str">
        <v>SFM160</v>
      </c>
      <c r="C166" s="13">
        <v>46269</v>
      </c>
      <c r="D166" s="12" t="str">
        <v>Snacks</v>
      </c>
      <c r="E166" s="12" t="str">
        <v>Piattos</v>
      </c>
      <c r="F166" s="12" t="str">
        <v>Cheese</v>
      </c>
      <c r="G166" s="12">
        <v>1</v>
      </c>
      <c r="H166" s="12">
        <v>3</v>
      </c>
      <c r="I166" s="12">
        <v>3</v>
      </c>
      <c r="J166" s="12">
        <v>48</v>
      </c>
      <c r="K166" s="12">
        <v>16</v>
      </c>
      <c r="L166" s="11">
        <v>17</v>
      </c>
      <c r="M166" s="12">
        <v>1</v>
      </c>
      <c r="N166" s="12">
        <v>3</v>
      </c>
      <c r="O166" s="12">
        <v>1</v>
      </c>
      <c r="P166" s="12">
        <v>2</v>
      </c>
      <c r="Q166" s="12">
        <v>17</v>
      </c>
      <c r="R166" s="12">
        <v>1</v>
      </c>
      <c r="S166" s="12" t="str">
        <v>Available</v>
      </c>
    </row>
    <row r="167" spans="2:19" x14ac:dyDescent="0.3">
      <c r="B167" s="12" t="str">
        <v>FFM161</v>
      </c>
      <c r="C167" s="13">
        <v>46269</v>
      </c>
      <c r="D167" s="12" t="str">
        <v>Fixed-Candy</v>
      </c>
      <c r="E167" s="12" t="str">
        <v>Crinkles</v>
      </c>
      <c r="F167" s="12" t="str">
        <v>Crinkles</v>
      </c>
      <c r="G167" s="12">
        <v>1</v>
      </c>
      <c r="H167" s="12">
        <v>15</v>
      </c>
      <c r="I167" s="12">
        <v>15</v>
      </c>
      <c r="J167" s="12">
        <v>5</v>
      </c>
      <c r="K167" s="12">
        <v>75</v>
      </c>
      <c r="L167" s="11">
        <v>5</v>
      </c>
      <c r="M167" s="12">
        <v>1.4</v>
      </c>
      <c r="N167" s="12">
        <v>21</v>
      </c>
      <c r="O167" s="12">
        <v>0</v>
      </c>
      <c r="P167" s="12">
        <v>15</v>
      </c>
      <c r="Q167" s="12">
        <v>0</v>
      </c>
      <c r="R167" s="12">
        <v>0</v>
      </c>
      <c r="S167" s="12" t="str">
        <v>Available</v>
      </c>
    </row>
    <row r="168" spans="2:19" x14ac:dyDescent="0.3">
      <c r="B168" s="12" t="str">
        <v>FFM162</v>
      </c>
      <c r="C168" s="13">
        <v>46269</v>
      </c>
      <c r="D168" s="12" t="str">
        <v>Fixed-Candy</v>
      </c>
      <c r="E168" s="12" t="str">
        <v>Gummies</v>
      </c>
      <c r="F168" s="12" t="str">
        <v>Gummies</v>
      </c>
      <c r="G168" s="12">
        <v>1</v>
      </c>
      <c r="H168" s="12">
        <v>30</v>
      </c>
      <c r="I168" s="12">
        <v>30</v>
      </c>
      <c r="J168" s="12">
        <v>5</v>
      </c>
      <c r="K168" s="12">
        <v>150</v>
      </c>
      <c r="L168" s="11">
        <v>5</v>
      </c>
      <c r="M168" s="12">
        <v>0.6</v>
      </c>
      <c r="N168" s="12">
        <v>18</v>
      </c>
      <c r="O168" s="12">
        <v>2</v>
      </c>
      <c r="P168" s="12">
        <v>28</v>
      </c>
      <c r="Q168" s="12">
        <v>10</v>
      </c>
      <c r="R168" s="12">
        <v>1.2</v>
      </c>
      <c r="S168" s="12" t="str">
        <v>Available</v>
      </c>
    </row>
    <row r="169" spans="2:19" x14ac:dyDescent="0.3">
      <c r="B169" s="12" t="str">
        <v>SFM163</v>
      </c>
      <c r="C169" s="13">
        <v>46269</v>
      </c>
      <c r="D169" s="12" t="str">
        <v>Snacks</v>
      </c>
      <c r="E169" s="12" t="str">
        <v>Clover Bits</v>
      </c>
      <c r="F169" s="12" t="str">
        <v>Taco BBQ</v>
      </c>
      <c r="G169" s="12">
        <v>1</v>
      </c>
      <c r="H169" s="12">
        <v>10</v>
      </c>
      <c r="I169" s="12">
        <v>10</v>
      </c>
      <c r="J169" s="12">
        <v>72</v>
      </c>
      <c r="K169" s="12">
        <v>7.2</v>
      </c>
      <c r="L169" s="11">
        <v>9</v>
      </c>
      <c r="M169" s="12">
        <v>1.7999999999999998</v>
      </c>
      <c r="N169" s="12">
        <v>18</v>
      </c>
      <c r="O169" s="12">
        <v>0</v>
      </c>
      <c r="P169" s="12">
        <v>10</v>
      </c>
      <c r="Q169" s="12">
        <v>0</v>
      </c>
      <c r="R169" s="12">
        <v>0</v>
      </c>
      <c r="S169" s="12" t="str">
        <v>Available</v>
      </c>
    </row>
    <row r="170" spans="2:19" x14ac:dyDescent="0.3">
      <c r="B170" s="12" t="str">
        <v>SFM164</v>
      </c>
      <c r="C170" s="13">
        <v>46269</v>
      </c>
      <c r="D170" s="12" t="str">
        <v>Snacks</v>
      </c>
      <c r="E170" s="12" t="str">
        <v>Bangus</v>
      </c>
      <c r="F170" s="12" t="str">
        <v>Fish Cracker</v>
      </c>
      <c r="G170" s="12">
        <v>1</v>
      </c>
      <c r="H170" s="12">
        <v>10</v>
      </c>
      <c r="I170" s="12">
        <v>10</v>
      </c>
      <c r="J170" s="12">
        <v>58</v>
      </c>
      <c r="K170" s="12">
        <v>5.8</v>
      </c>
      <c r="L170" s="11">
        <v>7</v>
      </c>
      <c r="M170" s="12">
        <v>1.2000000000000002</v>
      </c>
      <c r="N170" s="12">
        <v>12.000000000000002</v>
      </c>
      <c r="O170" s="12">
        <v>1</v>
      </c>
      <c r="P170" s="12">
        <v>9</v>
      </c>
      <c r="Q170" s="12">
        <v>7</v>
      </c>
      <c r="R170" s="12">
        <v>1.2000000000000002</v>
      </c>
      <c r="S170" s="12" t="str">
        <v>Available</v>
      </c>
    </row>
    <row r="171" spans="2:19" x14ac:dyDescent="0.3">
      <c r="B171" s="12" t="str">
        <v>SFM165</v>
      </c>
      <c r="C171" s="13">
        <v>46269</v>
      </c>
      <c r="D171" s="12" t="str">
        <v>Snacks</v>
      </c>
      <c r="E171" s="12" t="str">
        <v>Big Boy</v>
      </c>
      <c r="F171" s="12" t="str">
        <v>Cracker</v>
      </c>
      <c r="G171" s="12">
        <v>1</v>
      </c>
      <c r="H171" s="12">
        <v>10</v>
      </c>
      <c r="I171" s="12">
        <v>10</v>
      </c>
      <c r="J171" s="12">
        <v>64</v>
      </c>
      <c r="K171" s="12">
        <v>6.4</v>
      </c>
      <c r="L171" s="11">
        <v>8</v>
      </c>
      <c r="M171" s="12">
        <v>1.5999999999999996</v>
      </c>
      <c r="N171" s="12">
        <v>15.999999999999996</v>
      </c>
      <c r="O171" s="12">
        <v>2</v>
      </c>
      <c r="P171" s="12">
        <v>8</v>
      </c>
      <c r="Q171" s="12">
        <v>16</v>
      </c>
      <c r="R171" s="12">
        <v>3.1999999999999993</v>
      </c>
      <c r="S171" s="12" t="str">
        <v>Available</v>
      </c>
    </row>
    <row r="172" spans="2:19" x14ac:dyDescent="0.3">
      <c r="B172" s="12" t="str">
        <v>SFM166</v>
      </c>
      <c r="C172" s="13">
        <v>46269</v>
      </c>
      <c r="D172" s="12" t="str">
        <v>Softdrinks</v>
      </c>
      <c r="E172" s="12" t="str">
        <v>Coke and Royal</v>
      </c>
      <c r="F172" s="12" t="str">
        <v>Kasalo</v>
      </c>
      <c r="G172" s="12">
        <v>2</v>
      </c>
      <c r="H172" s="12">
        <v>12</v>
      </c>
      <c r="I172" s="12">
        <v>24</v>
      </c>
      <c r="J172" s="12">
        <v>620</v>
      </c>
      <c r="K172" s="12">
        <v>25.833333333333332</v>
      </c>
      <c r="L172" s="11">
        <v>32</v>
      </c>
      <c r="M172" s="12">
        <v>6.1666666666666679</v>
      </c>
      <c r="N172" s="12">
        <v>148.00000000000003</v>
      </c>
      <c r="O172" s="12">
        <v>0</v>
      </c>
      <c r="P172" s="12">
        <v>24</v>
      </c>
      <c r="Q172" s="12">
        <v>0</v>
      </c>
      <c r="R172" s="12">
        <v>0</v>
      </c>
      <c r="S172" s="12" t="str">
        <v>Available</v>
      </c>
    </row>
    <row r="173" spans="2:19" x14ac:dyDescent="0.3">
      <c r="B173" s="12" t="str">
        <v>SFM167</v>
      </c>
      <c r="C173" s="13">
        <v>46269</v>
      </c>
      <c r="D173" s="12" t="str">
        <v>Softdrinks</v>
      </c>
      <c r="E173" s="12" t="str">
        <v>Coke and Royal</v>
      </c>
      <c r="F173" s="12" t="str">
        <v>8oz</v>
      </c>
      <c r="G173" s="12">
        <v>3</v>
      </c>
      <c r="H173" s="12">
        <v>24</v>
      </c>
      <c r="I173" s="12">
        <v>72</v>
      </c>
      <c r="J173" s="12">
        <v>675</v>
      </c>
      <c r="K173" s="12">
        <v>9.375</v>
      </c>
      <c r="L173" s="11">
        <v>14</v>
      </c>
      <c r="M173" s="12">
        <v>4.625</v>
      </c>
      <c r="N173" s="12">
        <v>333</v>
      </c>
      <c r="O173" s="12">
        <v>1</v>
      </c>
      <c r="P173" s="12">
        <v>71</v>
      </c>
      <c r="Q173" s="12">
        <v>14</v>
      </c>
      <c r="R173" s="12">
        <v>4.625</v>
      </c>
      <c r="S173" s="12" t="str">
        <v>Available</v>
      </c>
    </row>
    <row r="174" spans="2:19" x14ac:dyDescent="0.3">
      <c r="B174" s="12" t="str">
        <v>AFM168</v>
      </c>
      <c r="C174" s="13">
        <v>46269</v>
      </c>
      <c r="D174" s="12" t="str">
        <v>Alcohol</v>
      </c>
      <c r="E174" s="12" t="str">
        <v>Red Horse</v>
      </c>
      <c r="F174" s="12" t="str">
        <v>Mucho</v>
      </c>
      <c r="G174" s="12">
        <v>1</v>
      </c>
      <c r="H174" s="12">
        <v>6</v>
      </c>
      <c r="I174" s="12">
        <v>6</v>
      </c>
      <c r="J174" s="12">
        <v>670</v>
      </c>
      <c r="K174" s="12">
        <v>111.66666666666667</v>
      </c>
      <c r="L174" s="11">
        <v>130</v>
      </c>
      <c r="M174" s="12">
        <v>18.333333333333329</v>
      </c>
      <c r="N174" s="12">
        <v>109.99999999999997</v>
      </c>
      <c r="O174" s="12">
        <v>0</v>
      </c>
      <c r="P174" s="12">
        <v>6</v>
      </c>
      <c r="Q174" s="12">
        <v>0</v>
      </c>
      <c r="R174" s="12">
        <v>0</v>
      </c>
      <c r="S174" s="12" t="str">
        <v>Available</v>
      </c>
    </row>
    <row r="175" spans="2:19" x14ac:dyDescent="0.3">
      <c r="B175" s="12" t="str">
        <v>AFM169</v>
      </c>
      <c r="C175" s="13">
        <v>46269</v>
      </c>
      <c r="D175" s="12" t="str">
        <v>Alcohol</v>
      </c>
      <c r="E175" s="12" t="str">
        <v>Red Horse</v>
      </c>
      <c r="F175" s="12">
        <v>500</v>
      </c>
      <c r="G175" s="12">
        <v>1</v>
      </c>
      <c r="H175" s="12">
        <v>12</v>
      </c>
      <c r="I175" s="12">
        <v>12</v>
      </c>
      <c r="J175" s="12">
        <v>700</v>
      </c>
      <c r="K175" s="12">
        <v>58.333333333333336</v>
      </c>
      <c r="L175" s="11">
        <v>70</v>
      </c>
      <c r="M175" s="12">
        <v>11.666666666666664</v>
      </c>
      <c r="N175" s="12">
        <v>139.99999999999997</v>
      </c>
      <c r="O175" s="12">
        <v>0</v>
      </c>
      <c r="P175" s="12">
        <v>12</v>
      </c>
      <c r="Q175" s="12">
        <v>0</v>
      </c>
      <c r="R175" s="12">
        <v>0</v>
      </c>
      <c r="S175" s="12" t="str">
        <v>Available</v>
      </c>
    </row>
    <row r="176" spans="2:19" x14ac:dyDescent="0.3">
      <c r="B176" s="12" t="str">
        <v>AFM170</v>
      </c>
      <c r="C176" s="13">
        <v>46269</v>
      </c>
      <c r="D176" s="12" t="str">
        <v>Alcohol</v>
      </c>
      <c r="E176" s="12" t="str">
        <v>San Miguel</v>
      </c>
      <c r="F176" s="12" t="str">
        <v>Light</v>
      </c>
      <c r="G176" s="12">
        <v>1</v>
      </c>
      <c r="H176" s="12">
        <v>24</v>
      </c>
      <c r="I176" s="12">
        <v>24</v>
      </c>
      <c r="J176" s="12">
        <v>1090</v>
      </c>
      <c r="K176" s="12">
        <v>45.416666666666664</v>
      </c>
      <c r="L176" s="11">
        <v>52</v>
      </c>
      <c r="M176" s="12">
        <v>6.5833333333333357</v>
      </c>
      <c r="N176" s="12">
        <v>158.00000000000006</v>
      </c>
      <c r="O176" s="12">
        <v>0</v>
      </c>
      <c r="P176" s="12">
        <v>24</v>
      </c>
      <c r="Q176" s="12">
        <v>0</v>
      </c>
      <c r="R176" s="12">
        <v>0</v>
      </c>
      <c r="S176" s="12" t="str">
        <v>Available</v>
      </c>
    </row>
    <row r="177" spans="2:19" x14ac:dyDescent="0.3">
      <c r="B177" s="12" t="str">
        <v>SFM171</v>
      </c>
      <c r="C177" s="13">
        <v>46270</v>
      </c>
      <c r="D177" s="12" t="str">
        <v>Spices &amp; Seasonings</v>
      </c>
      <c r="E177" s="12" t="str">
        <v>Pepper</v>
      </c>
      <c r="F177" s="12" t="str">
        <v>Crack</v>
      </c>
      <c r="G177" s="12">
        <v>3</v>
      </c>
      <c r="H177" s="12">
        <v>10</v>
      </c>
      <c r="I177" s="12">
        <v>30</v>
      </c>
      <c r="J177" s="12">
        <v>20</v>
      </c>
      <c r="K177" s="12">
        <v>0.66666666666666663</v>
      </c>
      <c r="L177" s="11">
        <v>1</v>
      </c>
      <c r="M177" s="12">
        <v>0.33333333333333337</v>
      </c>
      <c r="N177" s="12">
        <v>10.000000000000002</v>
      </c>
      <c r="O177" s="12">
        <v>0</v>
      </c>
      <c r="P177" s="12">
        <v>30</v>
      </c>
      <c r="Q177" s="12">
        <v>0</v>
      </c>
      <c r="R177" s="12">
        <v>0</v>
      </c>
      <c r="S177" s="12" t="str">
        <v>Available</v>
      </c>
    </row>
    <row r="178" spans="2:19" x14ac:dyDescent="0.3">
      <c r="B178" s="12" t="str">
        <v>SFM172</v>
      </c>
      <c r="C178" s="13">
        <v>46270</v>
      </c>
      <c r="D178" s="12" t="str">
        <v>Spices &amp; Seasonings</v>
      </c>
      <c r="E178" s="12" t="str">
        <v>Pepper</v>
      </c>
      <c r="F178" s="12" t="str">
        <v>Ground</v>
      </c>
      <c r="G178" s="12">
        <v>3</v>
      </c>
      <c r="H178" s="12">
        <v>10</v>
      </c>
      <c r="I178" s="12">
        <v>30</v>
      </c>
      <c r="J178" s="12">
        <v>20</v>
      </c>
      <c r="K178" s="12">
        <v>0.66666666666666663</v>
      </c>
      <c r="L178" s="11">
        <v>1</v>
      </c>
      <c r="M178" s="12">
        <v>0.33333333333333337</v>
      </c>
      <c r="N178" s="12">
        <v>10.000000000000002</v>
      </c>
      <c r="O178" s="12">
        <v>5</v>
      </c>
      <c r="P178" s="12">
        <v>25</v>
      </c>
      <c r="Q178" s="12">
        <v>5</v>
      </c>
      <c r="R178" s="12">
        <v>1.666666666666667</v>
      </c>
      <c r="S178" s="12" t="str">
        <v>Available</v>
      </c>
    </row>
    <row r="179" spans="2:19" x14ac:dyDescent="0.3">
      <c r="B179" s="12" t="str">
        <v>SFM173</v>
      </c>
      <c r="C179" s="13">
        <v>46270</v>
      </c>
      <c r="D179" s="12" t="str">
        <v>Spices &amp; Seasonings</v>
      </c>
      <c r="E179" s="12" t="str">
        <v>Pepper</v>
      </c>
      <c r="F179" s="12" t="str">
        <v>Whole</v>
      </c>
      <c r="G179" s="12">
        <v>3</v>
      </c>
      <c r="H179" s="12">
        <v>10</v>
      </c>
      <c r="I179" s="12">
        <v>30</v>
      </c>
      <c r="J179" s="12">
        <v>20</v>
      </c>
      <c r="K179" s="12">
        <v>0.66666666666666663</v>
      </c>
      <c r="L179" s="11">
        <v>1</v>
      </c>
      <c r="M179" s="12">
        <v>0.33333333333333337</v>
      </c>
      <c r="N179" s="12">
        <v>10.000000000000002</v>
      </c>
      <c r="O179" s="12">
        <v>0</v>
      </c>
      <c r="P179" s="12">
        <v>30</v>
      </c>
      <c r="Q179" s="12">
        <v>0</v>
      </c>
      <c r="R179" s="12">
        <v>0</v>
      </c>
      <c r="S179" s="12" t="str">
        <v>Available</v>
      </c>
    </row>
    <row r="180" spans="2:19" x14ac:dyDescent="0.3">
      <c r="B180" s="12" t="str">
        <v>MFM174</v>
      </c>
      <c r="C180" s="13">
        <v>46270</v>
      </c>
      <c r="D180" s="12" t="str">
        <v>Medicine</v>
      </c>
      <c r="E180" s="12" t="str">
        <v>Biogesic</v>
      </c>
      <c r="F180" s="12" t="str">
        <v>500mg</v>
      </c>
      <c r="G180" s="12">
        <v>1</v>
      </c>
      <c r="H180" s="12">
        <v>10</v>
      </c>
      <c r="I180" s="12">
        <v>10</v>
      </c>
      <c r="J180" s="12">
        <v>49.5</v>
      </c>
      <c r="K180" s="12">
        <v>4.95</v>
      </c>
      <c r="L180" s="11">
        <v>10</v>
      </c>
      <c r="M180" s="12">
        <v>5.05</v>
      </c>
      <c r="N180" s="12">
        <v>50.5</v>
      </c>
      <c r="O180" s="12">
        <v>4</v>
      </c>
      <c r="P180" s="12">
        <v>6</v>
      </c>
      <c r="Q180" s="12">
        <v>40</v>
      </c>
      <c r="R180" s="12">
        <v>20.2</v>
      </c>
      <c r="S180" s="12" t="str">
        <v>Available</v>
      </c>
    </row>
    <row r="181" spans="2:19" x14ac:dyDescent="0.3">
      <c r="B181" s="12" t="str">
        <v>MFM175</v>
      </c>
      <c r="C181" s="13">
        <v>46270</v>
      </c>
      <c r="D181" s="12" t="str">
        <v>Medicine</v>
      </c>
      <c r="E181" s="12" t="str">
        <v>Alaxan</v>
      </c>
      <c r="F181" s="12" t="str">
        <v>Xtra FCT</v>
      </c>
      <c r="G181" s="12">
        <v>1</v>
      </c>
      <c r="H181" s="12">
        <v>10</v>
      </c>
      <c r="I181" s="12">
        <v>10</v>
      </c>
      <c r="J181" s="12">
        <v>110</v>
      </c>
      <c r="K181" s="12">
        <v>11</v>
      </c>
      <c r="L181" s="11">
        <v>13</v>
      </c>
      <c r="M181" s="12">
        <v>2</v>
      </c>
      <c r="N181" s="12">
        <v>20</v>
      </c>
      <c r="O181" s="12">
        <v>0</v>
      </c>
      <c r="P181" s="12">
        <v>10</v>
      </c>
      <c r="Q181" s="12">
        <v>0</v>
      </c>
      <c r="R181" s="12">
        <v>0</v>
      </c>
      <c r="S181" s="12" t="str">
        <v>Available</v>
      </c>
    </row>
    <row r="182" spans="2:19" x14ac:dyDescent="0.3">
      <c r="B182" s="12" t="str">
        <v>MFM176</v>
      </c>
      <c r="C182" s="13">
        <v>46270</v>
      </c>
      <c r="D182" s="12" t="str">
        <v>Medicine</v>
      </c>
      <c r="E182" s="12" t="str">
        <v>Mefenamic</v>
      </c>
      <c r="F182" s="12" t="str">
        <v>Ritemed</v>
      </c>
      <c r="G182" s="12">
        <v>1</v>
      </c>
      <c r="H182" s="12">
        <v>10</v>
      </c>
      <c r="I182" s="12">
        <v>10</v>
      </c>
      <c r="J182" s="12">
        <v>55</v>
      </c>
      <c r="K182" s="12">
        <v>5.5</v>
      </c>
      <c r="L182" s="11">
        <v>7</v>
      </c>
      <c r="M182" s="12">
        <v>1.5</v>
      </c>
      <c r="N182" s="12">
        <v>15</v>
      </c>
      <c r="O182" s="12">
        <v>0</v>
      </c>
      <c r="P182" s="12">
        <v>10</v>
      </c>
      <c r="Q182" s="12">
        <v>0</v>
      </c>
      <c r="R182" s="12">
        <v>0</v>
      </c>
      <c r="S182" s="12" t="str">
        <v>Available</v>
      </c>
    </row>
    <row r="183" spans="2:19" x14ac:dyDescent="0.3">
      <c r="B183" s="12" t="str">
        <v>MFM177</v>
      </c>
      <c r="C183" s="13">
        <v>46270</v>
      </c>
      <c r="D183" s="12" t="str">
        <v>Medicine</v>
      </c>
      <c r="E183" s="12" t="str">
        <v>Imodium</v>
      </c>
      <c r="F183" s="12" t="str">
        <v>8+2</v>
      </c>
      <c r="G183" s="12">
        <v>1</v>
      </c>
      <c r="H183" s="12">
        <v>8</v>
      </c>
      <c r="I183" s="12">
        <v>8</v>
      </c>
      <c r="J183" s="12">
        <v>156.25</v>
      </c>
      <c r="K183" s="12">
        <v>19.53125</v>
      </c>
      <c r="L183" s="11">
        <v>22</v>
      </c>
      <c r="M183" s="12">
        <v>2.46875</v>
      </c>
      <c r="N183" s="12">
        <v>19.75</v>
      </c>
      <c r="O183" s="12">
        <v>0</v>
      </c>
      <c r="P183" s="12">
        <v>8</v>
      </c>
      <c r="Q183" s="12">
        <v>0</v>
      </c>
      <c r="R183" s="12">
        <v>0</v>
      </c>
      <c r="S183" s="12" t="str">
        <v>Available</v>
      </c>
    </row>
    <row r="184" spans="2:19" x14ac:dyDescent="0.3">
      <c r="B184" s="12" t="str">
        <v>MFM178</v>
      </c>
      <c r="C184" s="13">
        <v>46270</v>
      </c>
      <c r="D184" s="12" t="str">
        <v>Medicine</v>
      </c>
      <c r="E184" s="12" t="str">
        <v>Bioflu</v>
      </c>
      <c r="F184" s="12" t="str">
        <v>500mg</v>
      </c>
      <c r="G184" s="12">
        <v>1</v>
      </c>
      <c r="H184" s="12">
        <v>10</v>
      </c>
      <c r="I184" s="12">
        <v>10</v>
      </c>
      <c r="J184" s="12">
        <v>92.5</v>
      </c>
      <c r="K184" s="12">
        <v>9.25</v>
      </c>
      <c r="L184" s="11">
        <v>11</v>
      </c>
      <c r="M184" s="12">
        <v>1.75</v>
      </c>
      <c r="N184" s="12">
        <v>17.5</v>
      </c>
      <c r="O184" s="12">
        <v>0</v>
      </c>
      <c r="P184" s="12">
        <v>10</v>
      </c>
      <c r="Q184" s="12">
        <v>0</v>
      </c>
      <c r="R184" s="12">
        <v>0</v>
      </c>
      <c r="S184" s="12" t="str">
        <v>Available</v>
      </c>
    </row>
    <row r="185" spans="2:19" x14ac:dyDescent="0.3">
      <c r="B185" s="12" t="str">
        <v>MFM179</v>
      </c>
      <c r="C185" s="13">
        <v>46270</v>
      </c>
      <c r="D185" s="12" t="str">
        <v>Medicine</v>
      </c>
      <c r="E185" s="12" t="str">
        <v>Diatabs</v>
      </c>
      <c r="F185" s="12" t="str">
        <v>2mg</v>
      </c>
      <c r="G185" s="12">
        <v>1</v>
      </c>
      <c r="H185" s="12">
        <v>10</v>
      </c>
      <c r="I185" s="12">
        <v>10</v>
      </c>
      <c r="J185" s="12">
        <v>100</v>
      </c>
      <c r="K185" s="12">
        <v>10</v>
      </c>
      <c r="L185" s="11">
        <v>11</v>
      </c>
      <c r="M185" s="12">
        <v>1</v>
      </c>
      <c r="N185" s="12">
        <v>10</v>
      </c>
      <c r="O185" s="12">
        <v>0</v>
      </c>
      <c r="P185" s="12">
        <v>10</v>
      </c>
      <c r="Q185" s="12">
        <v>0</v>
      </c>
      <c r="R185" s="12">
        <v>0</v>
      </c>
      <c r="S185" s="12" t="str">
        <v>Available</v>
      </c>
    </row>
    <row r="186" spans="2:19" x14ac:dyDescent="0.3">
      <c r="B186" s="12" t="str">
        <v>SFM180</v>
      </c>
      <c r="C186" s="13">
        <v>46270</v>
      </c>
      <c r="D186" s="12" t="str">
        <v>Sugar</v>
      </c>
      <c r="E186" s="12" t="str">
        <v>Sugar</v>
      </c>
      <c r="F186" s="12" t="str">
        <v>White</v>
      </c>
      <c r="G186" s="12">
        <v>1</v>
      </c>
      <c r="H186" s="12">
        <v>3</v>
      </c>
      <c r="I186" s="12">
        <v>3</v>
      </c>
      <c r="J186" s="12">
        <v>58.5</v>
      </c>
      <c r="K186" s="12">
        <v>19.5</v>
      </c>
      <c r="L186" s="11">
        <v>22</v>
      </c>
      <c r="M186" s="12">
        <v>2.5</v>
      </c>
      <c r="N186" s="12">
        <v>7.5</v>
      </c>
      <c r="O186" s="12">
        <v>0</v>
      </c>
      <c r="P186" s="12">
        <v>3</v>
      </c>
      <c r="Q186" s="12">
        <v>0</v>
      </c>
      <c r="R186" s="12">
        <v>0</v>
      </c>
      <c r="S186" s="12" t="str">
        <v>Available</v>
      </c>
    </row>
    <row r="187" spans="2:19" x14ac:dyDescent="0.3">
      <c r="B187" s="12" t="str">
        <v>SNF181</v>
      </c>
      <c r="C187" s="13">
        <v>46270</v>
      </c>
      <c r="D187" s="12" t="str">
        <v>Sotanghon</v>
      </c>
      <c r="E187" s="12" t="str">
        <v>Vermicelli</v>
      </c>
      <c r="F187" s="12" t="str">
        <v>1.59oz</v>
      </c>
      <c r="G187" s="12">
        <v>1</v>
      </c>
      <c r="H187" s="12">
        <v>3</v>
      </c>
      <c r="I187" s="12">
        <v>3</v>
      </c>
      <c r="J187" s="12">
        <v>19.5</v>
      </c>
      <c r="K187" s="12">
        <v>6.5</v>
      </c>
      <c r="L187" s="11">
        <v>9</v>
      </c>
      <c r="M187" s="12">
        <v>2.5</v>
      </c>
      <c r="N187" s="12">
        <v>7.5</v>
      </c>
      <c r="O187" s="12">
        <v>0</v>
      </c>
      <c r="P187" s="12">
        <v>3</v>
      </c>
      <c r="Q187" s="12">
        <v>0</v>
      </c>
      <c r="R187" s="12">
        <v>0</v>
      </c>
      <c r="S187" s="12" t="str">
        <v>Available</v>
      </c>
    </row>
    <row r="188" spans="2:19" x14ac:dyDescent="0.3">
      <c r="B188" s="12" t="str">
        <v>BNF182</v>
      </c>
      <c r="C188" s="13">
        <v>46270</v>
      </c>
      <c r="D188" s="12" t="str">
        <v>Breading</v>
      </c>
      <c r="E188" s="12" t="str">
        <v>Crispy Fry</v>
      </c>
      <c r="F188" s="12" t="str">
        <v>Original 33g</v>
      </c>
      <c r="G188" s="12">
        <v>1</v>
      </c>
      <c r="H188" s="12">
        <v>8</v>
      </c>
      <c r="I188" s="12">
        <v>8</v>
      </c>
      <c r="J188" s="12">
        <v>90</v>
      </c>
      <c r="K188" s="12">
        <v>11.25</v>
      </c>
      <c r="L188" s="11">
        <v>14</v>
      </c>
      <c r="M188" s="12">
        <v>2.75</v>
      </c>
      <c r="N188" s="12">
        <v>22</v>
      </c>
      <c r="O188" s="12">
        <v>0</v>
      </c>
      <c r="P188" s="12">
        <v>8</v>
      </c>
      <c r="Q188" s="12">
        <v>0</v>
      </c>
      <c r="R188" s="12">
        <v>0</v>
      </c>
      <c r="S188" s="12" t="str">
        <v>Available</v>
      </c>
    </row>
    <row r="189" spans="2:19" x14ac:dyDescent="0.3">
      <c r="B189" s="12" t="str">
        <v>FNF183</v>
      </c>
      <c r="C189" s="13">
        <v>46270</v>
      </c>
      <c r="D189" s="12" t="str">
        <v>Fish Sauce</v>
      </c>
      <c r="E189" s="12" t="str">
        <v>Lorins</v>
      </c>
      <c r="F189" s="12" t="str">
        <v>150ml</v>
      </c>
      <c r="G189" s="12">
        <v>1</v>
      </c>
      <c r="H189" s="12">
        <v>7</v>
      </c>
      <c r="I189" s="12">
        <v>7</v>
      </c>
      <c r="J189" s="12">
        <v>85.75</v>
      </c>
      <c r="K189" s="12">
        <v>12.25</v>
      </c>
      <c r="L189" s="11">
        <v>14</v>
      </c>
      <c r="M189" s="12">
        <v>1.75</v>
      </c>
      <c r="N189" s="12">
        <v>12.25</v>
      </c>
      <c r="O189" s="12">
        <v>0</v>
      </c>
      <c r="P189" s="12">
        <v>7</v>
      </c>
      <c r="Q189" s="12">
        <v>0</v>
      </c>
      <c r="R189" s="12">
        <v>0</v>
      </c>
      <c r="S189" s="12" t="str">
        <v>Available</v>
      </c>
    </row>
    <row r="190" spans="2:19" x14ac:dyDescent="0.3">
      <c r="B190" s="12" t="str">
        <v>VFM184</v>
      </c>
      <c r="C190" s="13">
        <v>46270</v>
      </c>
      <c r="D190" s="12" t="str">
        <v>Vinegar</v>
      </c>
      <c r="E190" s="12" t="str">
        <v>Datu Puti</v>
      </c>
      <c r="F190" s="12" t="str">
        <v>Sakto 60ml</v>
      </c>
      <c r="G190" s="12">
        <v>1</v>
      </c>
      <c r="H190" s="12">
        <v>6</v>
      </c>
      <c r="I190" s="12">
        <v>6</v>
      </c>
      <c r="J190" s="12">
        <v>22.8</v>
      </c>
      <c r="K190" s="12">
        <v>3.8000000000000003</v>
      </c>
      <c r="L190" s="11">
        <v>6</v>
      </c>
      <c r="M190" s="12">
        <v>2.1999999999999997</v>
      </c>
      <c r="N190" s="12">
        <v>13.2</v>
      </c>
      <c r="O190" s="12">
        <v>0</v>
      </c>
      <c r="P190" s="12">
        <v>6</v>
      </c>
      <c r="Q190" s="12">
        <v>0</v>
      </c>
      <c r="R190" s="12">
        <v>0</v>
      </c>
      <c r="S190" s="12" t="str">
        <v>Available</v>
      </c>
    </row>
    <row r="191" spans="2:19" x14ac:dyDescent="0.3">
      <c r="B191" s="12" t="str">
        <v>VFM185</v>
      </c>
      <c r="C191" s="13">
        <v>46270</v>
      </c>
      <c r="D191" s="12" t="str">
        <v>Vinegar</v>
      </c>
      <c r="E191" s="12" t="str">
        <v>Silver Swan</v>
      </c>
      <c r="F191" s="12" t="str">
        <v>200ml</v>
      </c>
      <c r="G191" s="12">
        <v>1</v>
      </c>
      <c r="H191" s="12">
        <v>4</v>
      </c>
      <c r="I191" s="12">
        <v>4</v>
      </c>
      <c r="J191" s="12">
        <v>30.6</v>
      </c>
      <c r="K191" s="12">
        <v>7.65</v>
      </c>
      <c r="L191" s="11">
        <v>9</v>
      </c>
      <c r="M191" s="12">
        <v>1.3499999999999996</v>
      </c>
      <c r="N191" s="12">
        <v>5.3999999999999986</v>
      </c>
      <c r="O191" s="12">
        <v>0</v>
      </c>
      <c r="P191" s="12">
        <v>4</v>
      </c>
      <c r="Q191" s="12">
        <v>0</v>
      </c>
      <c r="R191" s="12">
        <v>0</v>
      </c>
      <c r="S191" s="12" t="str">
        <v>Available</v>
      </c>
    </row>
    <row r="192" spans="2:19" x14ac:dyDescent="0.3">
      <c r="B192" s="12" t="str">
        <v>SFM186</v>
      </c>
      <c r="C192" s="13">
        <v>46270</v>
      </c>
      <c r="D192" s="12" t="str">
        <v>Soy Sauce</v>
      </c>
      <c r="E192" s="12" t="str">
        <v>Datu Puti</v>
      </c>
      <c r="F192" s="12" t="str">
        <v>60ml</v>
      </c>
      <c r="G192" s="12">
        <v>1</v>
      </c>
      <c r="H192" s="12">
        <v>6</v>
      </c>
      <c r="I192" s="12">
        <v>6</v>
      </c>
      <c r="J192" s="12">
        <v>27.3</v>
      </c>
      <c r="K192" s="12">
        <v>4.55</v>
      </c>
      <c r="L192" s="11">
        <v>7</v>
      </c>
      <c r="M192" s="12">
        <v>2.4500000000000002</v>
      </c>
      <c r="N192" s="12">
        <v>14.700000000000001</v>
      </c>
      <c r="O192" s="12">
        <v>0</v>
      </c>
      <c r="P192" s="12">
        <v>6</v>
      </c>
      <c r="Q192" s="12">
        <v>0</v>
      </c>
      <c r="R192" s="12">
        <v>0</v>
      </c>
      <c r="S192" s="12" t="str">
        <v>Available</v>
      </c>
    </row>
    <row r="193" spans="2:19" x14ac:dyDescent="0.3">
      <c r="B193" s="12" t="str">
        <v>KFM187</v>
      </c>
      <c r="C193" s="13">
        <v>46270</v>
      </c>
      <c r="D193" s="12" t="str">
        <v>Ketchup</v>
      </c>
      <c r="E193" s="12" t="str">
        <v>UFC</v>
      </c>
      <c r="F193" s="12" t="str">
        <v>Banana</v>
      </c>
      <c r="G193" s="12">
        <v>1</v>
      </c>
      <c r="H193" s="12">
        <v>5</v>
      </c>
      <c r="I193" s="12">
        <v>5</v>
      </c>
      <c r="J193" s="12">
        <v>55.5</v>
      </c>
      <c r="K193" s="12">
        <v>11.1</v>
      </c>
      <c r="L193" s="11">
        <v>13</v>
      </c>
      <c r="M193" s="12">
        <v>1.9000000000000004</v>
      </c>
      <c r="N193" s="12">
        <v>9.5000000000000018</v>
      </c>
      <c r="O193" s="12">
        <v>0</v>
      </c>
      <c r="P193" s="12">
        <v>5</v>
      </c>
      <c r="Q193" s="12">
        <v>0</v>
      </c>
      <c r="R193" s="12">
        <v>0</v>
      </c>
      <c r="S193" s="12" t="str">
        <v>Available</v>
      </c>
    </row>
    <row r="194" spans="2:19" x14ac:dyDescent="0.3">
      <c r="B194" s="12" t="str">
        <v>CFM188</v>
      </c>
      <c r="C194" s="13">
        <v>46270</v>
      </c>
      <c r="D194" s="12" t="str">
        <v>Cubes</v>
      </c>
      <c r="E194" s="12" t="str">
        <v>Knorr</v>
      </c>
      <c r="F194" s="12" t="str">
        <v>Beef</v>
      </c>
      <c r="G194" s="12">
        <v>1</v>
      </c>
      <c r="H194" s="12">
        <v>12</v>
      </c>
      <c r="I194" s="12">
        <v>12</v>
      </c>
      <c r="J194" s="12">
        <v>73.8</v>
      </c>
      <c r="K194" s="12">
        <v>6.1499999999999995</v>
      </c>
      <c r="L194" s="11">
        <v>9</v>
      </c>
      <c r="M194" s="12">
        <v>2.8500000000000005</v>
      </c>
      <c r="N194" s="12">
        <v>34.200000000000003</v>
      </c>
      <c r="O194" s="12">
        <v>0</v>
      </c>
      <c r="P194" s="12">
        <v>12</v>
      </c>
      <c r="Q194" s="12">
        <v>0</v>
      </c>
      <c r="R194" s="12">
        <v>0</v>
      </c>
      <c r="S194" s="12" t="str">
        <v>Available</v>
      </c>
    </row>
    <row r="195" spans="2:19" x14ac:dyDescent="0.3">
      <c r="B195" s="12" t="str">
        <v>CFM189</v>
      </c>
      <c r="C195" s="13">
        <v>46270</v>
      </c>
      <c r="D195" s="12" t="str">
        <v>Cigarette</v>
      </c>
      <c r="E195" s="12" t="str">
        <v>Mighty</v>
      </c>
      <c r="F195" s="12" t="str">
        <v>Green</v>
      </c>
      <c r="G195" s="12">
        <v>10</v>
      </c>
      <c r="H195" s="12">
        <v>20</v>
      </c>
      <c r="I195" s="12">
        <v>200</v>
      </c>
      <c r="J195" s="12">
        <v>1679</v>
      </c>
      <c r="K195" s="12">
        <v>8.3949999999999996</v>
      </c>
      <c r="L195" s="11">
        <v>9</v>
      </c>
      <c r="M195" s="12">
        <v>0.60500000000000043</v>
      </c>
      <c r="N195" s="12">
        <v>121.00000000000009</v>
      </c>
      <c r="O195" s="12">
        <v>7</v>
      </c>
      <c r="P195" s="12">
        <v>193</v>
      </c>
      <c r="Q195" s="12">
        <v>63</v>
      </c>
      <c r="R195" s="12">
        <v>4.235000000000003</v>
      </c>
      <c r="S195" s="12" t="str">
        <v>Available</v>
      </c>
    </row>
    <row r="196" spans="2:19" x14ac:dyDescent="0.3">
      <c r="B196" s="12" t="str">
        <v>VFM190</v>
      </c>
      <c r="C196" s="13">
        <v>46270</v>
      </c>
      <c r="D196" s="12" t="str">
        <v>Vinegar</v>
      </c>
      <c r="E196" s="12" t="str">
        <v>Datu Puti</v>
      </c>
      <c r="F196" s="12" t="str">
        <v>200ml</v>
      </c>
      <c r="G196" s="12">
        <v>1</v>
      </c>
      <c r="H196" s="12">
        <v>3</v>
      </c>
      <c r="I196" s="12">
        <v>3</v>
      </c>
      <c r="J196" s="12">
        <v>25.05</v>
      </c>
      <c r="K196" s="12">
        <v>8.35</v>
      </c>
      <c r="L196" s="11">
        <v>11</v>
      </c>
      <c r="M196" s="12">
        <v>2.6500000000000004</v>
      </c>
      <c r="N196" s="12">
        <v>7.9500000000000011</v>
      </c>
      <c r="O196" s="12">
        <v>0</v>
      </c>
      <c r="P196" s="12">
        <v>3</v>
      </c>
      <c r="Q196" s="12">
        <v>0</v>
      </c>
      <c r="R196" s="12">
        <v>0</v>
      </c>
      <c r="S196" s="12" t="str">
        <v>Available</v>
      </c>
    </row>
    <row r="197" spans="2:19" x14ac:dyDescent="0.3">
      <c r="B197" s="12" t="str">
        <v>SFM191</v>
      </c>
      <c r="C197" s="13">
        <v>46270</v>
      </c>
      <c r="D197" s="12" t="str">
        <v>Soy Sauce</v>
      </c>
      <c r="E197" s="12" t="str">
        <v>Datu Puti</v>
      </c>
      <c r="F197" s="12" t="str">
        <v>200ml</v>
      </c>
      <c r="G197" s="12">
        <v>1</v>
      </c>
      <c r="H197" s="12">
        <v>2</v>
      </c>
      <c r="I197" s="12">
        <v>2</v>
      </c>
      <c r="J197" s="12">
        <v>21.6</v>
      </c>
      <c r="K197" s="12">
        <v>10.8</v>
      </c>
      <c r="L197" s="11">
        <v>13</v>
      </c>
      <c r="M197" s="12">
        <v>2.1999999999999993</v>
      </c>
      <c r="N197" s="12">
        <v>4.3999999999999986</v>
      </c>
      <c r="O197" s="12">
        <v>0</v>
      </c>
      <c r="P197" s="12">
        <v>2</v>
      </c>
      <c r="Q197" s="12">
        <v>0</v>
      </c>
      <c r="R197" s="12">
        <v>0</v>
      </c>
      <c r="S197" s="12" t="str">
        <v>Available</v>
      </c>
    </row>
    <row r="198" spans="2:19" x14ac:dyDescent="0.3">
      <c r="B198" s="12" t="str">
        <v>HFM192</v>
      </c>
      <c r="C198" s="13">
        <v>46270</v>
      </c>
      <c r="D198" s="12" t="str">
        <v>Hotdog</v>
      </c>
      <c r="E198" s="12" t="str">
        <v>Idol</v>
      </c>
      <c r="F198" s="12" t="str">
        <v>Regular</v>
      </c>
      <c r="G198" s="12">
        <v>1</v>
      </c>
      <c r="H198" s="12">
        <v>40</v>
      </c>
      <c r="I198" s="12">
        <v>40</v>
      </c>
      <c r="J198" s="12">
        <v>165</v>
      </c>
      <c r="K198" s="12">
        <v>4.125</v>
      </c>
      <c r="L198" s="11">
        <v>8</v>
      </c>
      <c r="M198" s="12">
        <v>3.875</v>
      </c>
      <c r="N198" s="12">
        <v>155</v>
      </c>
      <c r="O198" s="12">
        <v>6</v>
      </c>
      <c r="P198" s="12">
        <v>34</v>
      </c>
      <c r="Q198" s="12">
        <v>48</v>
      </c>
      <c r="R198" s="12">
        <v>23.25</v>
      </c>
      <c r="S198" s="12" t="str">
        <v>Available</v>
      </c>
    </row>
    <row r="199" spans="2:19" x14ac:dyDescent="0.3">
      <c r="B199" s="12" t="str">
        <v>TFM193</v>
      </c>
      <c r="C199" s="13">
        <v>46270</v>
      </c>
      <c r="D199" s="12" t="str">
        <v>Tocino</v>
      </c>
      <c r="E199" s="12" t="str">
        <v>Young Pork</v>
      </c>
      <c r="F199" s="12" t="str">
        <v>Tocino</v>
      </c>
      <c r="G199" s="12">
        <v>1</v>
      </c>
      <c r="H199" s="12">
        <v>2</v>
      </c>
      <c r="I199" s="12">
        <v>2</v>
      </c>
      <c r="J199" s="12">
        <v>128</v>
      </c>
      <c r="K199" s="12">
        <v>64</v>
      </c>
      <c r="L199" s="11">
        <v>72</v>
      </c>
      <c r="M199" s="12">
        <v>8</v>
      </c>
      <c r="N199" s="12">
        <v>16</v>
      </c>
      <c r="O199" s="12">
        <v>0</v>
      </c>
      <c r="P199" s="12">
        <v>2</v>
      </c>
      <c r="Q199" s="12">
        <v>0</v>
      </c>
      <c r="R199" s="12">
        <v>0</v>
      </c>
      <c r="S199" s="12" t="str">
        <v>Available</v>
      </c>
    </row>
    <row r="200" spans="2:19" x14ac:dyDescent="0.3">
      <c r="B200" s="12" t="str">
        <v>NFM194</v>
      </c>
      <c r="C200" s="13">
        <v>46270</v>
      </c>
      <c r="D200" s="12" t="str">
        <v>Nuggets</v>
      </c>
      <c r="E200" s="12" t="str">
        <v>Nuggets</v>
      </c>
      <c r="F200" s="12" t="str">
        <v>200g</v>
      </c>
      <c r="G200" s="12">
        <v>1</v>
      </c>
      <c r="H200" s="12">
        <v>1</v>
      </c>
      <c r="I200" s="12">
        <v>1</v>
      </c>
      <c r="J200" s="12">
        <v>81</v>
      </c>
      <c r="K200" s="12">
        <v>81</v>
      </c>
      <c r="L200" s="11">
        <v>86</v>
      </c>
      <c r="M200" s="12">
        <v>5</v>
      </c>
      <c r="N200" s="12">
        <v>5</v>
      </c>
      <c r="O200" s="12">
        <v>1</v>
      </c>
      <c r="P200" s="12">
        <v>0</v>
      </c>
      <c r="Q200" s="12">
        <v>86</v>
      </c>
      <c r="R200" s="12">
        <v>5</v>
      </c>
      <c r="S200" s="12" t="str">
        <v>Sold Out</v>
      </c>
    </row>
    <row r="201" spans="2:19" x14ac:dyDescent="0.3">
      <c r="B201" s="12" t="str">
        <v>CFM195</v>
      </c>
      <c r="C201" s="13">
        <v>46271</v>
      </c>
      <c r="D201" s="12" t="str">
        <v>Cigarette</v>
      </c>
      <c r="E201" s="12" t="str">
        <v>Marlboro</v>
      </c>
      <c r="F201" s="12" t="str">
        <v>Red</v>
      </c>
      <c r="G201" s="12">
        <v>6</v>
      </c>
      <c r="H201" s="12">
        <v>20</v>
      </c>
      <c r="I201" s="12">
        <v>120</v>
      </c>
      <c r="J201" s="12">
        <v>880</v>
      </c>
      <c r="K201" s="12">
        <v>7.333333333333333</v>
      </c>
      <c r="L201" s="11">
        <v>11</v>
      </c>
      <c r="M201" s="12">
        <v>3.666666666666667</v>
      </c>
      <c r="N201" s="12">
        <v>440.00000000000006</v>
      </c>
      <c r="O201" s="12">
        <v>0</v>
      </c>
      <c r="P201" s="12">
        <v>120</v>
      </c>
      <c r="Q201" s="12">
        <v>0</v>
      </c>
      <c r="R201" s="12">
        <v>0</v>
      </c>
      <c r="S201" s="12" t="str">
        <v>Available</v>
      </c>
    </row>
    <row r="202" spans="2:19" x14ac:dyDescent="0.3">
      <c r="B202" s="12" t="str">
        <v>CFM196</v>
      </c>
      <c r="C202" s="13">
        <v>46271</v>
      </c>
      <c r="D202" s="12" t="str">
        <v>Cigarette</v>
      </c>
      <c r="E202" s="12" t="str">
        <v>Camel</v>
      </c>
      <c r="F202" s="12" t="str">
        <v>Camel</v>
      </c>
      <c r="G202" s="12">
        <v>6</v>
      </c>
      <c r="H202" s="12">
        <v>20</v>
      </c>
      <c r="I202" s="12">
        <v>120</v>
      </c>
      <c r="J202" s="12">
        <v>725</v>
      </c>
      <c r="K202" s="12">
        <v>6.041666666666667</v>
      </c>
      <c r="L202" s="11">
        <v>8</v>
      </c>
      <c r="M202" s="12">
        <v>1.958333333333333</v>
      </c>
      <c r="N202" s="12">
        <v>234.99999999999997</v>
      </c>
      <c r="O202" s="12">
        <v>0</v>
      </c>
      <c r="P202" s="12">
        <v>120</v>
      </c>
      <c r="Q202" s="12">
        <v>0</v>
      </c>
      <c r="R202" s="12">
        <v>0</v>
      </c>
      <c r="S202" s="12" t="str">
        <v>Available</v>
      </c>
    </row>
    <row r="203" spans="2:19" x14ac:dyDescent="0.3">
      <c r="B203" s="12" t="str">
        <v>CFM197</v>
      </c>
      <c r="C203" s="13">
        <v>46271</v>
      </c>
      <c r="D203" s="12" t="str">
        <v>Cigarette</v>
      </c>
      <c r="E203" s="12" t="str">
        <v>Fortune</v>
      </c>
      <c r="F203" s="12" t="str">
        <v>White</v>
      </c>
      <c r="G203" s="12">
        <v>7</v>
      </c>
      <c r="H203" s="12">
        <v>20</v>
      </c>
      <c r="I203" s="12">
        <v>140</v>
      </c>
      <c r="J203" s="12">
        <v>990</v>
      </c>
      <c r="K203" s="12">
        <v>7.0714285714285712</v>
      </c>
      <c r="L203" s="11">
        <v>9</v>
      </c>
      <c r="M203" s="12">
        <v>1.9285714285714288</v>
      </c>
      <c r="N203" s="12">
        <v>270.00000000000006</v>
      </c>
      <c r="O203" s="12">
        <v>0</v>
      </c>
      <c r="P203" s="12">
        <v>140</v>
      </c>
      <c r="Q203" s="12">
        <v>0</v>
      </c>
      <c r="R203" s="12">
        <v>0</v>
      </c>
      <c r="S203" s="12" t="str">
        <v>Available</v>
      </c>
    </row>
  </sheetData>
  <autoFilter ref="B7:S203" xr:uid="{4958671F-2971-43A6-BA9F-2613BB19D438}"/>
  <conditionalFormatting sqref="S1:S1048576">
    <cfRule type="cellIs" dxfId="5" priority="1" operator="equal">
      <formula>"Sold Out"</formula>
    </cfRule>
    <cfRule type="cellIs" dxfId="4" priority="2" operator="equal">
      <formula>"Available"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0AF0-855E-4E4A-B60C-A6FF998D0AFD}">
  <sheetPr codeName="Sheet7"/>
  <dimension ref="A1"/>
  <sheetViews>
    <sheetView zoomScale="80" zoomScaleNormal="80" workbookViewId="0">
      <selection activeCell="O12" sqref="O1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2D9C3-D447-45B3-AE2A-4A340D1B02D0}">
  <sheetPr codeName="Sheet4"/>
  <dimension ref="B2:L22"/>
  <sheetViews>
    <sheetView zoomScale="80" zoomScaleNormal="80" workbookViewId="0">
      <selection activeCell="K7" sqref="K7"/>
    </sheetView>
  </sheetViews>
  <sheetFormatPr defaultRowHeight="14.4" x14ac:dyDescent="0.3"/>
  <sheetData>
    <row r="2" spans="2:12" x14ac:dyDescent="0.3">
      <c r="B2" s="2" t="s">
        <v>304</v>
      </c>
      <c r="C2" s="2"/>
      <c r="D2" s="22"/>
      <c r="E2" s="21"/>
      <c r="F2" s="2"/>
      <c r="G2" s="2"/>
    </row>
    <row r="4" spans="2:12" x14ac:dyDescent="0.3">
      <c r="D4" s="2" t="s">
        <v>325</v>
      </c>
      <c r="H4" s="2"/>
    </row>
    <row r="6" spans="2:12" x14ac:dyDescent="0.3">
      <c r="B6" s="20" t="s">
        <v>4</v>
      </c>
      <c r="D6" s="27" t="str">
        <f>_xlfn.XLOOKUP($D$2,InventoryTable[Item ID],InventoryTable[Category],"")</f>
        <v/>
      </c>
      <c r="E6" s="31"/>
      <c r="F6" s="28"/>
      <c r="H6" s="2" t="s">
        <v>363</v>
      </c>
      <c r="K6" s="29"/>
      <c r="L6" s="30"/>
    </row>
    <row r="8" spans="2:12" x14ac:dyDescent="0.3">
      <c r="B8" s="20" t="s">
        <v>11</v>
      </c>
      <c r="D8" s="27" t="str">
        <f>_xlfn.XLOOKUP($D$2,InventoryTable[Item ID],InventoryTable[Brand],"")</f>
        <v/>
      </c>
      <c r="E8" s="31"/>
      <c r="F8" s="28"/>
    </row>
    <row r="9" spans="2:12" x14ac:dyDescent="0.3">
      <c r="B9" s="20"/>
      <c r="D9" s="9"/>
      <c r="E9" s="9"/>
      <c r="F9" s="9"/>
    </row>
    <row r="10" spans="2:12" x14ac:dyDescent="0.3">
      <c r="B10" s="20" t="s">
        <v>200</v>
      </c>
      <c r="D10" s="27" t="str">
        <f>_xlfn.XLOOKUP($D$2,InventoryTable[Item ID],InventoryTable[Description],"")</f>
        <v/>
      </c>
      <c r="E10" s="31"/>
      <c r="F10" s="28"/>
    </row>
    <row r="11" spans="2:12" x14ac:dyDescent="0.3">
      <c r="B11" s="20"/>
      <c r="D11" s="9"/>
      <c r="E11" s="9"/>
      <c r="F11" s="9"/>
    </row>
    <row r="12" spans="2:12" x14ac:dyDescent="0.3">
      <c r="B12" s="20" t="s">
        <v>308</v>
      </c>
      <c r="D12" s="27" t="str">
        <f>_xlfn.XLOOKUP($D$2,InventoryTable[Item ID],InventoryTable[Purchase Price],"")</f>
        <v/>
      </c>
      <c r="E12" s="28"/>
      <c r="F12" s="9"/>
    </row>
    <row r="13" spans="2:12" x14ac:dyDescent="0.3">
      <c r="B13" s="20"/>
      <c r="D13" s="9"/>
      <c r="E13" s="9"/>
      <c r="F13" s="9"/>
    </row>
    <row r="14" spans="2:12" x14ac:dyDescent="0.3">
      <c r="B14" s="20" t="s">
        <v>313</v>
      </c>
      <c r="D14" s="27" t="str">
        <f>_xlfn.XLOOKUP($D$2,InventoryTable[Item ID],InventoryTable[Fixed Price],"")</f>
        <v/>
      </c>
      <c r="E14" s="28"/>
      <c r="F14" s="9"/>
    </row>
    <row r="15" spans="2:12" x14ac:dyDescent="0.3">
      <c r="B15" s="20"/>
      <c r="D15" s="9"/>
      <c r="E15" s="9"/>
      <c r="F15" s="9"/>
    </row>
    <row r="16" spans="2:12" x14ac:dyDescent="0.3">
      <c r="B16" s="20" t="s">
        <v>315</v>
      </c>
      <c r="D16" s="27" t="str">
        <f>_xlfn.XLOOKUP($D$2,InventoryTable[Item ID],InventoryTable[Profit per Unit],"")</f>
        <v/>
      </c>
      <c r="E16" s="28"/>
      <c r="F16" s="9"/>
    </row>
    <row r="17" spans="2:6" x14ac:dyDescent="0.3">
      <c r="B17" s="20"/>
      <c r="D17" s="9"/>
      <c r="E17" s="9"/>
      <c r="F17" s="9"/>
    </row>
    <row r="18" spans="2:6" x14ac:dyDescent="0.3">
      <c r="B18" s="2" t="s">
        <v>221</v>
      </c>
      <c r="D18" s="27" t="str">
        <f>_xlfn.XLOOKUP($D$2,InventoryTable[Item ID],InventoryTable[Original Price],"")</f>
        <v/>
      </c>
      <c r="E18" s="28"/>
      <c r="F18" s="9"/>
    </row>
    <row r="19" spans="2:6" x14ac:dyDescent="0.3">
      <c r="B19" s="20"/>
      <c r="D19" s="9"/>
      <c r="E19" s="9"/>
      <c r="F19" s="9"/>
    </row>
    <row r="20" spans="2:6" x14ac:dyDescent="0.3">
      <c r="B20" s="20" t="s">
        <v>317</v>
      </c>
      <c r="D20" s="27" t="str">
        <f>_xlfn.XLOOKUP($D$2,InventoryTable[Item ID],InventoryTable[Units Sold],"")</f>
        <v/>
      </c>
      <c r="E20" s="28"/>
      <c r="F20" s="9"/>
    </row>
    <row r="21" spans="2:6" x14ac:dyDescent="0.3">
      <c r="B21" s="20"/>
      <c r="D21" s="9"/>
      <c r="E21" s="9"/>
      <c r="F21" s="9"/>
    </row>
    <row r="22" spans="2:6" x14ac:dyDescent="0.3">
      <c r="B22" s="2" t="s">
        <v>316</v>
      </c>
      <c r="D22" s="27" t="str">
        <f>_xlfn.XLOOKUP($D$2,InventoryTable[Item ID],InventoryTable[Stock Balance],"")</f>
        <v/>
      </c>
      <c r="E22" s="28"/>
    </row>
  </sheetData>
  <mergeCells count="10">
    <mergeCell ref="D18:E18"/>
    <mergeCell ref="D20:E20"/>
    <mergeCell ref="D22:E22"/>
    <mergeCell ref="K6:L6"/>
    <mergeCell ref="D6:F6"/>
    <mergeCell ref="D8:F8"/>
    <mergeCell ref="D10:F10"/>
    <mergeCell ref="D12:E12"/>
    <mergeCell ref="D14:E14"/>
    <mergeCell ref="D16:E1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AB1AF-ADDC-4F5B-9A1D-4B0952C4747D}">
  <sheetPr codeName="Sheet8"/>
  <dimension ref="A1:H45"/>
  <sheetViews>
    <sheetView zoomScale="80" zoomScaleNormal="80" workbookViewId="0">
      <selection activeCell="A44" sqref="A44"/>
    </sheetView>
  </sheetViews>
  <sheetFormatPr defaultRowHeight="14.4" x14ac:dyDescent="0.3"/>
  <cols>
    <col min="1" max="1" width="9" customWidth="1"/>
    <col min="2" max="2" width="16.6640625" style="25" bestFit="1" customWidth="1"/>
    <col min="3" max="3" width="10.44140625" customWidth="1"/>
    <col min="5" max="5" width="12.33203125" customWidth="1"/>
    <col min="6" max="6" width="12.77734375" customWidth="1"/>
    <col min="7" max="7" width="15.109375" customWidth="1"/>
    <col min="8" max="8" width="14.77734375" customWidth="1"/>
  </cols>
  <sheetData>
    <row r="1" spans="1:8" x14ac:dyDescent="0.3">
      <c r="A1" s="23" t="s">
        <v>304</v>
      </c>
      <c r="B1" s="26" t="s">
        <v>305</v>
      </c>
      <c r="C1" s="24" t="s">
        <v>4</v>
      </c>
      <c r="D1" s="24" t="s">
        <v>11</v>
      </c>
      <c r="E1" s="24" t="s">
        <v>200</v>
      </c>
      <c r="F1" s="24" t="s">
        <v>307</v>
      </c>
      <c r="G1" s="24" t="s">
        <v>308</v>
      </c>
      <c r="H1" s="24" t="s">
        <v>315</v>
      </c>
    </row>
    <row r="2" spans="1:8" x14ac:dyDescent="0.3">
      <c r="A2" t="s">
        <v>364</v>
      </c>
      <c r="B2" s="25">
        <v>46269.573171296295</v>
      </c>
      <c r="C2" t="s">
        <v>271</v>
      </c>
      <c r="D2" t="s">
        <v>288</v>
      </c>
      <c r="E2" t="s">
        <v>288</v>
      </c>
      <c r="F2">
        <v>2</v>
      </c>
      <c r="G2">
        <v>10</v>
      </c>
      <c r="H2">
        <v>1.2</v>
      </c>
    </row>
    <row r="3" spans="1:8" x14ac:dyDescent="0.3">
      <c r="A3" t="s">
        <v>365</v>
      </c>
      <c r="B3" s="25">
        <v>46269.573171296295</v>
      </c>
      <c r="C3" t="s">
        <v>272</v>
      </c>
      <c r="D3" t="s">
        <v>272</v>
      </c>
      <c r="E3" t="s">
        <v>273</v>
      </c>
      <c r="F3">
        <v>4</v>
      </c>
      <c r="G3">
        <v>20</v>
      </c>
      <c r="H3">
        <v>2.4878048780487809</v>
      </c>
    </row>
    <row r="4" spans="1:8" x14ac:dyDescent="0.3">
      <c r="A4" t="s">
        <v>366</v>
      </c>
      <c r="B4" s="25">
        <v>46269.573171296295</v>
      </c>
      <c r="C4" t="s">
        <v>112</v>
      </c>
      <c r="D4" t="s">
        <v>111</v>
      </c>
      <c r="E4" t="s">
        <v>110</v>
      </c>
      <c r="F4">
        <v>1</v>
      </c>
      <c r="G4">
        <v>6</v>
      </c>
      <c r="H4">
        <v>1</v>
      </c>
    </row>
    <row r="5" spans="1:8" x14ac:dyDescent="0.3">
      <c r="A5" t="s">
        <v>367</v>
      </c>
      <c r="B5" s="25">
        <v>46269.573171296295</v>
      </c>
      <c r="C5" t="s">
        <v>115</v>
      </c>
      <c r="D5" t="s">
        <v>170</v>
      </c>
      <c r="E5" t="s">
        <v>171</v>
      </c>
      <c r="F5">
        <v>1</v>
      </c>
      <c r="G5">
        <v>10</v>
      </c>
      <c r="H5">
        <v>2.5</v>
      </c>
    </row>
    <row r="6" spans="1:8" x14ac:dyDescent="0.3">
      <c r="A6" t="s">
        <v>368</v>
      </c>
      <c r="B6" s="25">
        <v>46269.573171296295</v>
      </c>
      <c r="C6" t="s">
        <v>244</v>
      </c>
      <c r="D6" t="s">
        <v>242</v>
      </c>
      <c r="E6" t="s">
        <v>243</v>
      </c>
      <c r="F6">
        <v>5</v>
      </c>
      <c r="G6">
        <v>300</v>
      </c>
      <c r="H6">
        <v>25</v>
      </c>
    </row>
    <row r="7" spans="1:8" x14ac:dyDescent="0.3">
      <c r="A7" t="s">
        <v>369</v>
      </c>
      <c r="B7" s="25">
        <v>46269.573171296295</v>
      </c>
      <c r="C7" t="s">
        <v>81</v>
      </c>
      <c r="D7" t="s">
        <v>82</v>
      </c>
      <c r="E7" t="s">
        <v>83</v>
      </c>
      <c r="F7">
        <v>1</v>
      </c>
      <c r="G7">
        <v>15</v>
      </c>
      <c r="H7">
        <v>2.1500000000000004</v>
      </c>
    </row>
    <row r="8" spans="1:8" x14ac:dyDescent="0.3">
      <c r="A8" t="s">
        <v>370</v>
      </c>
      <c r="B8" s="25">
        <v>46269.573171296295</v>
      </c>
      <c r="C8" t="s">
        <v>222</v>
      </c>
      <c r="D8" t="s">
        <v>199</v>
      </c>
      <c r="E8" t="s">
        <v>279</v>
      </c>
      <c r="F8">
        <v>2</v>
      </c>
      <c r="G8">
        <v>28</v>
      </c>
      <c r="H8">
        <v>4</v>
      </c>
    </row>
    <row r="9" spans="1:8" x14ac:dyDescent="0.3">
      <c r="A9" t="s">
        <v>371</v>
      </c>
      <c r="B9" s="25">
        <v>46269.573171296295</v>
      </c>
      <c r="C9" t="s">
        <v>275</v>
      </c>
      <c r="D9" t="s">
        <v>275</v>
      </c>
      <c r="E9" t="s">
        <v>275</v>
      </c>
      <c r="F9">
        <v>3</v>
      </c>
      <c r="G9">
        <v>18</v>
      </c>
      <c r="H9">
        <v>6</v>
      </c>
    </row>
    <row r="10" spans="1:8" x14ac:dyDescent="0.3">
      <c r="A10" t="s">
        <v>372</v>
      </c>
      <c r="B10" s="25">
        <v>46269.573171296295</v>
      </c>
      <c r="C10" t="s">
        <v>118</v>
      </c>
      <c r="D10" t="s">
        <v>136</v>
      </c>
      <c r="E10" t="s">
        <v>137</v>
      </c>
      <c r="F10">
        <v>1</v>
      </c>
      <c r="G10">
        <v>9</v>
      </c>
      <c r="H10">
        <v>1.0499999999999998</v>
      </c>
    </row>
    <row r="11" spans="1:8" x14ac:dyDescent="0.3">
      <c r="A11" t="s">
        <v>373</v>
      </c>
      <c r="B11" s="25">
        <v>46269.573171296295</v>
      </c>
      <c r="C11" t="s">
        <v>118</v>
      </c>
      <c r="D11" t="s">
        <v>130</v>
      </c>
      <c r="E11" t="s">
        <v>131</v>
      </c>
      <c r="F11">
        <v>1</v>
      </c>
      <c r="G11">
        <v>10</v>
      </c>
      <c r="H11">
        <v>1.4499999999999993</v>
      </c>
    </row>
    <row r="12" spans="1:8" x14ac:dyDescent="0.3">
      <c r="A12" t="s">
        <v>374</v>
      </c>
      <c r="B12" s="25">
        <v>46269.573171296295</v>
      </c>
      <c r="C12" t="s">
        <v>276</v>
      </c>
      <c r="D12" t="s">
        <v>276</v>
      </c>
      <c r="E12" t="s">
        <v>276</v>
      </c>
      <c r="F12">
        <v>1</v>
      </c>
      <c r="G12">
        <v>11</v>
      </c>
      <c r="H12">
        <v>2.7142857142857135</v>
      </c>
    </row>
    <row r="13" spans="1:8" x14ac:dyDescent="0.3">
      <c r="A13" t="s">
        <v>375</v>
      </c>
      <c r="B13" s="25">
        <v>46269.573171296295</v>
      </c>
      <c r="C13" t="s">
        <v>72</v>
      </c>
      <c r="D13" t="s">
        <v>70</v>
      </c>
      <c r="E13" t="s">
        <v>71</v>
      </c>
      <c r="F13">
        <v>1</v>
      </c>
      <c r="G13">
        <v>11</v>
      </c>
      <c r="H13">
        <v>2.6500000000000004</v>
      </c>
    </row>
    <row r="14" spans="1:8" x14ac:dyDescent="0.3">
      <c r="A14" t="s">
        <v>376</v>
      </c>
      <c r="B14" s="25">
        <v>46269.573171296295</v>
      </c>
      <c r="C14" t="s">
        <v>204</v>
      </c>
      <c r="D14" t="s">
        <v>231</v>
      </c>
      <c r="E14" t="s">
        <v>232</v>
      </c>
      <c r="F14">
        <v>1</v>
      </c>
      <c r="G14">
        <v>21</v>
      </c>
      <c r="H14">
        <v>1.5999999999999979</v>
      </c>
    </row>
    <row r="15" spans="1:8" x14ac:dyDescent="0.3">
      <c r="A15" t="s">
        <v>377</v>
      </c>
      <c r="B15" s="25">
        <v>46269.573171296295</v>
      </c>
      <c r="C15" t="s">
        <v>115</v>
      </c>
      <c r="D15" t="s">
        <v>149</v>
      </c>
      <c r="E15" t="s">
        <v>150</v>
      </c>
      <c r="F15">
        <v>1</v>
      </c>
      <c r="G15">
        <v>8</v>
      </c>
      <c r="H15">
        <v>1.666666666666667</v>
      </c>
    </row>
    <row r="16" spans="1:8" x14ac:dyDescent="0.3">
      <c r="A16" t="s">
        <v>378</v>
      </c>
      <c r="B16" s="25">
        <v>46270.421747685185</v>
      </c>
      <c r="C16" t="s">
        <v>240</v>
      </c>
      <c r="D16" t="s">
        <v>240</v>
      </c>
      <c r="E16" t="s">
        <v>241</v>
      </c>
      <c r="F16">
        <v>1</v>
      </c>
      <c r="G16">
        <v>11</v>
      </c>
      <c r="H16">
        <v>1.8333333333333339</v>
      </c>
    </row>
    <row r="17" spans="1:8" x14ac:dyDescent="0.3">
      <c r="A17" t="s">
        <v>379</v>
      </c>
      <c r="B17" s="25">
        <v>46270.421747685185</v>
      </c>
      <c r="C17" t="s">
        <v>17</v>
      </c>
      <c r="D17" t="s">
        <v>18</v>
      </c>
      <c r="E17" t="s">
        <v>20</v>
      </c>
      <c r="F17">
        <v>1</v>
      </c>
      <c r="G17">
        <v>16</v>
      </c>
      <c r="H17">
        <v>2.9000000000000004</v>
      </c>
    </row>
    <row r="18" spans="1:8" x14ac:dyDescent="0.3">
      <c r="A18" t="s">
        <v>380</v>
      </c>
      <c r="B18" s="25">
        <v>46270.421747685185</v>
      </c>
      <c r="C18" t="s">
        <v>271</v>
      </c>
      <c r="D18" t="s">
        <v>82</v>
      </c>
      <c r="E18" t="s">
        <v>81</v>
      </c>
      <c r="F18">
        <v>1</v>
      </c>
      <c r="G18">
        <v>5</v>
      </c>
      <c r="H18">
        <v>3.7878787878787881</v>
      </c>
    </row>
    <row r="19" spans="1:8" x14ac:dyDescent="0.3">
      <c r="A19" t="s">
        <v>381</v>
      </c>
      <c r="B19" s="25">
        <v>46270.421747685185</v>
      </c>
      <c r="C19" t="s">
        <v>277</v>
      </c>
      <c r="D19" t="s">
        <v>277</v>
      </c>
      <c r="E19" t="s">
        <v>277</v>
      </c>
      <c r="F19">
        <v>1</v>
      </c>
      <c r="G19">
        <v>7</v>
      </c>
      <c r="H19">
        <v>2.5</v>
      </c>
    </row>
    <row r="20" spans="1:8" x14ac:dyDescent="0.3">
      <c r="A20" t="s">
        <v>382</v>
      </c>
      <c r="B20" s="25">
        <v>46270.421747685185</v>
      </c>
      <c r="C20" t="s">
        <v>332</v>
      </c>
      <c r="D20" t="s">
        <v>333</v>
      </c>
      <c r="E20" t="s">
        <v>334</v>
      </c>
      <c r="F20">
        <v>2</v>
      </c>
      <c r="G20">
        <v>20</v>
      </c>
      <c r="H20">
        <v>10.1</v>
      </c>
    </row>
    <row r="21" spans="1:8" x14ac:dyDescent="0.3">
      <c r="A21" t="s">
        <v>383</v>
      </c>
      <c r="B21" s="25">
        <v>46270.421747685185</v>
      </c>
      <c r="C21" t="s">
        <v>272</v>
      </c>
      <c r="D21" t="s">
        <v>272</v>
      </c>
      <c r="E21" t="s">
        <v>273</v>
      </c>
      <c r="F21">
        <v>2</v>
      </c>
      <c r="G21">
        <v>10</v>
      </c>
      <c r="H21">
        <v>1.2439024390243905</v>
      </c>
    </row>
    <row r="22" spans="1:8" x14ac:dyDescent="0.3">
      <c r="A22" t="s">
        <v>384</v>
      </c>
      <c r="B22" s="25">
        <v>46270.421747685185</v>
      </c>
      <c r="C22" t="s">
        <v>327</v>
      </c>
      <c r="D22" t="s">
        <v>328</v>
      </c>
      <c r="E22" t="s">
        <v>330</v>
      </c>
      <c r="F22">
        <v>5</v>
      </c>
      <c r="G22">
        <v>5</v>
      </c>
      <c r="H22">
        <v>1.666666666666667</v>
      </c>
    </row>
    <row r="23" spans="1:8" x14ac:dyDescent="0.3">
      <c r="A23" t="s">
        <v>378</v>
      </c>
      <c r="B23" s="25">
        <v>46270.421747685185</v>
      </c>
      <c r="C23" t="s">
        <v>240</v>
      </c>
      <c r="D23" t="s">
        <v>240</v>
      </c>
      <c r="E23" t="s">
        <v>241</v>
      </c>
      <c r="F23">
        <v>3</v>
      </c>
      <c r="G23">
        <v>33</v>
      </c>
      <c r="H23">
        <v>5.5000000000000018</v>
      </c>
    </row>
    <row r="24" spans="1:8" x14ac:dyDescent="0.3">
      <c r="A24" t="s">
        <v>385</v>
      </c>
      <c r="B24" s="25">
        <v>46270.421747685185</v>
      </c>
      <c r="C24" t="s">
        <v>353</v>
      </c>
      <c r="D24" t="s">
        <v>354</v>
      </c>
      <c r="E24" t="s">
        <v>31</v>
      </c>
      <c r="F24">
        <v>1</v>
      </c>
      <c r="G24">
        <v>9</v>
      </c>
      <c r="H24">
        <v>0.60500000000000043</v>
      </c>
    </row>
    <row r="25" spans="1:8" x14ac:dyDescent="0.3">
      <c r="A25" t="s">
        <v>365</v>
      </c>
      <c r="B25" s="25">
        <v>46270.421747685185</v>
      </c>
      <c r="C25" t="s">
        <v>272</v>
      </c>
      <c r="D25" t="s">
        <v>272</v>
      </c>
      <c r="E25" t="s">
        <v>273</v>
      </c>
      <c r="F25">
        <v>1</v>
      </c>
      <c r="G25">
        <v>5</v>
      </c>
      <c r="H25">
        <v>0.62195121951219523</v>
      </c>
    </row>
    <row r="26" spans="1:8" x14ac:dyDescent="0.3">
      <c r="A26" t="s">
        <v>386</v>
      </c>
      <c r="B26" s="25">
        <v>46270.421747685185</v>
      </c>
      <c r="C26" t="s">
        <v>359</v>
      </c>
      <c r="D26" t="s">
        <v>359</v>
      </c>
      <c r="E26" t="s">
        <v>80</v>
      </c>
      <c r="F26">
        <v>1</v>
      </c>
      <c r="G26">
        <v>86</v>
      </c>
      <c r="H26">
        <v>5</v>
      </c>
    </row>
    <row r="27" spans="1:8" x14ac:dyDescent="0.3">
      <c r="A27" t="s">
        <v>365</v>
      </c>
      <c r="B27" s="25">
        <v>46270.421747685185</v>
      </c>
      <c r="C27" t="s">
        <v>272</v>
      </c>
      <c r="D27" t="s">
        <v>272</v>
      </c>
      <c r="E27" t="s">
        <v>273</v>
      </c>
      <c r="F27">
        <v>1</v>
      </c>
      <c r="G27">
        <v>5</v>
      </c>
      <c r="H27">
        <v>0.62195121951219523</v>
      </c>
    </row>
    <row r="28" spans="1:8" x14ac:dyDescent="0.3">
      <c r="A28" t="s">
        <v>371</v>
      </c>
      <c r="B28" s="25">
        <v>46270.421747685185</v>
      </c>
      <c r="C28" t="s">
        <v>275</v>
      </c>
      <c r="D28" t="s">
        <v>275</v>
      </c>
      <c r="E28" t="s">
        <v>275</v>
      </c>
      <c r="F28">
        <v>1</v>
      </c>
      <c r="G28">
        <v>6</v>
      </c>
      <c r="H28">
        <v>2</v>
      </c>
    </row>
    <row r="29" spans="1:8" x14ac:dyDescent="0.3">
      <c r="A29" t="s">
        <v>385</v>
      </c>
      <c r="B29" s="25">
        <v>46270.421747685185</v>
      </c>
      <c r="C29" t="s">
        <v>353</v>
      </c>
      <c r="D29" t="s">
        <v>354</v>
      </c>
      <c r="E29" t="s">
        <v>31</v>
      </c>
      <c r="F29">
        <v>2</v>
      </c>
      <c r="G29">
        <v>18</v>
      </c>
      <c r="H29">
        <v>1.2100000000000009</v>
      </c>
    </row>
    <row r="30" spans="1:8" x14ac:dyDescent="0.3">
      <c r="A30" t="s">
        <v>387</v>
      </c>
      <c r="B30" s="25">
        <v>46270.421747685185</v>
      </c>
      <c r="C30" t="s">
        <v>115</v>
      </c>
      <c r="D30" t="s">
        <v>173</v>
      </c>
      <c r="E30" t="s">
        <v>162</v>
      </c>
      <c r="F30">
        <v>5</v>
      </c>
      <c r="G30">
        <v>10</v>
      </c>
      <c r="H30">
        <v>1.9471153846153844</v>
      </c>
    </row>
    <row r="31" spans="1:8" x14ac:dyDescent="0.3">
      <c r="A31" t="s">
        <v>379</v>
      </c>
      <c r="B31" s="25">
        <v>46270.421747685185</v>
      </c>
      <c r="C31" t="s">
        <v>17</v>
      </c>
      <c r="D31" t="s">
        <v>18</v>
      </c>
      <c r="E31" t="s">
        <v>20</v>
      </c>
      <c r="F31">
        <v>1</v>
      </c>
      <c r="G31">
        <v>16</v>
      </c>
      <c r="H31">
        <v>2.9000000000000004</v>
      </c>
    </row>
    <row r="32" spans="1:8" x14ac:dyDescent="0.3">
      <c r="A32" t="s">
        <v>385</v>
      </c>
      <c r="B32" s="25">
        <v>46270.421747685185</v>
      </c>
      <c r="C32" t="s">
        <v>353</v>
      </c>
      <c r="D32" t="s">
        <v>354</v>
      </c>
      <c r="E32" t="s">
        <v>31</v>
      </c>
      <c r="F32">
        <v>1</v>
      </c>
      <c r="G32">
        <v>9</v>
      </c>
      <c r="H32">
        <v>0.60500000000000043</v>
      </c>
    </row>
    <row r="33" spans="1:8" x14ac:dyDescent="0.3">
      <c r="A33" t="s">
        <v>390</v>
      </c>
      <c r="B33" s="25">
        <v>46270.421747685185</v>
      </c>
      <c r="C33" t="s">
        <v>355</v>
      </c>
      <c r="D33" t="s">
        <v>356</v>
      </c>
      <c r="E33" t="s">
        <v>29</v>
      </c>
      <c r="F33">
        <v>6</v>
      </c>
      <c r="G33">
        <v>48</v>
      </c>
      <c r="H33">
        <v>23.25</v>
      </c>
    </row>
    <row r="34" spans="1:8" x14ac:dyDescent="0.3">
      <c r="A34" t="s">
        <v>391</v>
      </c>
      <c r="B34" s="25">
        <v>46270.421747685185</v>
      </c>
      <c r="C34" t="s">
        <v>118</v>
      </c>
      <c r="D34" t="s">
        <v>124</v>
      </c>
      <c r="E34" t="s">
        <v>125</v>
      </c>
      <c r="F34">
        <v>1</v>
      </c>
      <c r="G34">
        <v>9</v>
      </c>
      <c r="H34">
        <v>1.5999999999999996</v>
      </c>
    </row>
    <row r="35" spans="1:8" x14ac:dyDescent="0.3">
      <c r="A35" t="s">
        <v>392</v>
      </c>
      <c r="B35" s="25">
        <v>46270.421747685185</v>
      </c>
      <c r="C35" t="s">
        <v>296</v>
      </c>
      <c r="D35" t="s">
        <v>298</v>
      </c>
      <c r="E35" t="s">
        <v>299</v>
      </c>
      <c r="F35">
        <v>1</v>
      </c>
      <c r="G35">
        <v>14</v>
      </c>
      <c r="H35">
        <v>4.625</v>
      </c>
    </row>
    <row r="36" spans="1:8" x14ac:dyDescent="0.3">
      <c r="A36" t="s">
        <v>382</v>
      </c>
      <c r="B36" s="25">
        <v>46270.421747685185</v>
      </c>
      <c r="C36" t="s">
        <v>332</v>
      </c>
      <c r="D36" t="s">
        <v>333</v>
      </c>
      <c r="E36" t="s">
        <v>334</v>
      </c>
      <c r="F36">
        <v>2</v>
      </c>
      <c r="G36">
        <v>20</v>
      </c>
      <c r="H36">
        <v>10.1</v>
      </c>
    </row>
    <row r="37" spans="1:8" x14ac:dyDescent="0.3">
      <c r="A37" t="s">
        <v>393</v>
      </c>
      <c r="B37" s="25">
        <v>46270.421747685185</v>
      </c>
      <c r="C37" t="s">
        <v>271</v>
      </c>
      <c r="D37" t="s">
        <v>163</v>
      </c>
      <c r="E37" t="s">
        <v>163</v>
      </c>
      <c r="F37">
        <v>1</v>
      </c>
      <c r="G37">
        <v>5</v>
      </c>
      <c r="H37">
        <v>2.09375</v>
      </c>
    </row>
    <row r="38" spans="1:8" x14ac:dyDescent="0.3">
      <c r="A38" t="s">
        <v>394</v>
      </c>
      <c r="B38" s="25">
        <v>46270.421747685185</v>
      </c>
      <c r="C38" t="s">
        <v>118</v>
      </c>
      <c r="D38" t="s">
        <v>291</v>
      </c>
      <c r="E38" t="s">
        <v>292</v>
      </c>
      <c r="F38">
        <v>1</v>
      </c>
      <c r="G38">
        <v>7</v>
      </c>
      <c r="H38">
        <v>1.2000000000000002</v>
      </c>
    </row>
    <row r="39" spans="1:8" x14ac:dyDescent="0.3">
      <c r="A39" t="s">
        <v>395</v>
      </c>
      <c r="B39" s="25">
        <v>46270.421747685185</v>
      </c>
      <c r="C39" t="s">
        <v>118</v>
      </c>
      <c r="D39" t="s">
        <v>293</v>
      </c>
      <c r="E39" t="s">
        <v>294</v>
      </c>
      <c r="F39">
        <v>2</v>
      </c>
      <c r="G39">
        <v>16</v>
      </c>
      <c r="H39">
        <v>3.1999999999999993</v>
      </c>
    </row>
    <row r="40" spans="1:8" x14ac:dyDescent="0.3">
      <c r="A40" t="s">
        <v>373</v>
      </c>
      <c r="B40" s="25">
        <v>46270.421747685185</v>
      </c>
      <c r="C40" t="s">
        <v>118</v>
      </c>
      <c r="D40" t="s">
        <v>130</v>
      </c>
      <c r="E40" t="s">
        <v>131</v>
      </c>
      <c r="F40">
        <v>1</v>
      </c>
      <c r="G40">
        <v>10</v>
      </c>
      <c r="H40">
        <v>1.4499999999999993</v>
      </c>
    </row>
    <row r="41" spans="1:8" x14ac:dyDescent="0.3">
      <c r="A41" t="s">
        <v>396</v>
      </c>
      <c r="B41" s="25">
        <v>46270.421747685185</v>
      </c>
      <c r="C41" t="s">
        <v>118</v>
      </c>
      <c r="D41" t="s">
        <v>121</v>
      </c>
      <c r="E41" t="s">
        <v>286</v>
      </c>
      <c r="F41">
        <v>1</v>
      </c>
      <c r="G41">
        <v>17</v>
      </c>
      <c r="H41">
        <v>1</v>
      </c>
    </row>
    <row r="42" spans="1:8" x14ac:dyDescent="0.3">
      <c r="A42" t="s">
        <v>397</v>
      </c>
      <c r="B42" s="25">
        <v>46270.421747685185</v>
      </c>
      <c r="C42" t="s">
        <v>115</v>
      </c>
      <c r="D42" t="s">
        <v>173</v>
      </c>
      <c r="E42" t="s">
        <v>162</v>
      </c>
      <c r="F42">
        <v>1</v>
      </c>
      <c r="G42">
        <v>2</v>
      </c>
      <c r="H42">
        <v>0.38942307692307687</v>
      </c>
    </row>
    <row r="43" spans="1:8" x14ac:dyDescent="0.3">
      <c r="A43" t="s">
        <v>385</v>
      </c>
      <c r="B43" s="25">
        <v>46270.421747685185</v>
      </c>
      <c r="C43" t="s">
        <v>353</v>
      </c>
      <c r="D43" t="s">
        <v>354</v>
      </c>
      <c r="E43" t="s">
        <v>31</v>
      </c>
      <c r="F43">
        <v>3</v>
      </c>
      <c r="G43">
        <v>27</v>
      </c>
      <c r="H43">
        <v>1.8150000000000013</v>
      </c>
    </row>
    <row r="44" spans="1:8" x14ac:dyDescent="0.3">
      <c r="A44" t="s">
        <v>398</v>
      </c>
      <c r="B44" s="25">
        <v>46271.509062500001</v>
      </c>
      <c r="C44" t="s">
        <v>204</v>
      </c>
      <c r="D44" t="s">
        <v>231</v>
      </c>
      <c r="E44" t="s">
        <v>206</v>
      </c>
      <c r="F44">
        <v>1</v>
      </c>
      <c r="G44">
        <v>21</v>
      </c>
      <c r="H44">
        <v>1.6000000000000014</v>
      </c>
    </row>
    <row r="45" spans="1:8" x14ac:dyDescent="0.3">
      <c r="A45" t="s">
        <v>403</v>
      </c>
      <c r="B45" s="25">
        <v>46271.958113425928</v>
      </c>
      <c r="C45" t="s">
        <v>353</v>
      </c>
      <c r="D45" t="s">
        <v>402</v>
      </c>
      <c r="E45" t="s">
        <v>295</v>
      </c>
      <c r="F45">
        <v>2</v>
      </c>
      <c r="G45">
        <v>16</v>
      </c>
      <c r="H45">
        <v>1.8571428571428577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25CA4-655C-4F25-BB81-087F10D67A6E}">
  <sheetPr codeName="Sheet1"/>
  <dimension ref="B2:K30"/>
  <sheetViews>
    <sheetView showGridLines="0" zoomScale="80" zoomScaleNormal="80" workbookViewId="0">
      <selection activeCell="F36" sqref="F36"/>
    </sheetView>
  </sheetViews>
  <sheetFormatPr defaultRowHeight="14.4" x14ac:dyDescent="0.3"/>
  <cols>
    <col min="2" max="2" width="8.88671875" style="2"/>
    <col min="4" max="4" width="3.5546875" customWidth="1"/>
    <col min="8" max="8" width="21.44140625" customWidth="1"/>
    <col min="9" max="9" width="10.33203125" customWidth="1"/>
    <col min="10" max="10" width="28.77734375" customWidth="1"/>
    <col min="11" max="11" width="22.109375" customWidth="1"/>
  </cols>
  <sheetData>
    <row r="2" spans="2:11" x14ac:dyDescent="0.3">
      <c r="B2" s="32" t="s">
        <v>4</v>
      </c>
      <c r="C2" s="32"/>
      <c r="J2" t="s">
        <v>221</v>
      </c>
      <c r="K2" s="10">
        <v>0</v>
      </c>
    </row>
    <row r="3" spans="2:11" x14ac:dyDescent="0.3">
      <c r="B3" s="32"/>
      <c r="C3" s="32"/>
    </row>
    <row r="5" spans="2:11" x14ac:dyDescent="0.3">
      <c r="B5" s="32" t="s">
        <v>11</v>
      </c>
      <c r="C5" s="32"/>
    </row>
    <row r="6" spans="2:11" x14ac:dyDescent="0.3">
      <c r="B6" s="32"/>
      <c r="C6" s="32"/>
    </row>
    <row r="8" spans="2:11" x14ac:dyDescent="0.3">
      <c r="B8" s="32" t="s">
        <v>200</v>
      </c>
      <c r="C8" s="32"/>
    </row>
    <row r="9" spans="2:11" x14ac:dyDescent="0.3">
      <c r="B9" s="32"/>
      <c r="C9" s="32"/>
    </row>
    <row r="11" spans="2:11" x14ac:dyDescent="0.3">
      <c r="B11" s="32" t="s">
        <v>306</v>
      </c>
      <c r="C11" s="32"/>
      <c r="E11" s="33">
        <v>7</v>
      </c>
      <c r="F11" s="34"/>
    </row>
    <row r="12" spans="2:11" x14ac:dyDescent="0.3">
      <c r="B12" s="32"/>
      <c r="C12" s="32"/>
      <c r="E12" s="35"/>
      <c r="F12" s="36"/>
    </row>
    <row r="14" spans="2:11" x14ac:dyDescent="0.3">
      <c r="B14" s="32" t="s">
        <v>201</v>
      </c>
      <c r="C14" s="32"/>
      <c r="E14" s="33">
        <v>20</v>
      </c>
      <c r="F14" s="34"/>
    </row>
    <row r="15" spans="2:11" x14ac:dyDescent="0.3">
      <c r="B15" s="32"/>
      <c r="C15" s="32"/>
      <c r="E15" s="35"/>
      <c r="F15" s="36"/>
    </row>
    <row r="17" spans="2:11" x14ac:dyDescent="0.3">
      <c r="B17" s="32" t="s">
        <v>308</v>
      </c>
      <c r="C17" s="32"/>
      <c r="E17" s="33">
        <v>990</v>
      </c>
      <c r="F17" s="34"/>
      <c r="J17" t="s">
        <v>323</v>
      </c>
      <c r="K17" s="10">
        <f>IF(E20=1,E17/(E14*E11),E17*E14*E11)</f>
        <v>7.0714285714285712</v>
      </c>
    </row>
    <row r="18" spans="2:11" x14ac:dyDescent="0.3">
      <c r="B18" s="32"/>
      <c r="C18" s="32"/>
      <c r="E18" s="35"/>
      <c r="F18" s="36"/>
    </row>
    <row r="20" spans="2:11" x14ac:dyDescent="0.3">
      <c r="B20" s="32" t="s">
        <v>309</v>
      </c>
      <c r="C20" s="32"/>
      <c r="E20" s="33">
        <v>1</v>
      </c>
      <c r="F20" s="34"/>
      <c r="J20" s="1" t="s">
        <v>207</v>
      </c>
    </row>
    <row r="21" spans="2:11" x14ac:dyDescent="0.3">
      <c r="B21" s="32"/>
      <c r="C21" s="32"/>
      <c r="E21" s="35"/>
      <c r="F21" s="36"/>
      <c r="J21" s="1" t="s">
        <v>208</v>
      </c>
    </row>
    <row r="22" spans="2:11" x14ac:dyDescent="0.3">
      <c r="J22" s="1"/>
    </row>
    <row r="23" spans="2:11" x14ac:dyDescent="0.3">
      <c r="B23" s="32" t="s">
        <v>320</v>
      </c>
      <c r="C23" s="32"/>
      <c r="E23" s="33" t="s">
        <v>61</v>
      </c>
      <c r="F23" s="34"/>
      <c r="J23" s="1" t="s">
        <v>63</v>
      </c>
    </row>
    <row r="24" spans="2:11" x14ac:dyDescent="0.3">
      <c r="B24" s="32"/>
      <c r="C24" s="32"/>
      <c r="E24" s="35"/>
      <c r="F24" s="36"/>
      <c r="J24" s="1" t="s">
        <v>64</v>
      </c>
    </row>
    <row r="26" spans="2:11" x14ac:dyDescent="0.3">
      <c r="B26" s="32" t="s">
        <v>68</v>
      </c>
      <c r="C26" s="32"/>
      <c r="E26" s="37">
        <v>0.05</v>
      </c>
      <c r="F26" s="38"/>
    </row>
    <row r="27" spans="2:11" x14ac:dyDescent="0.3">
      <c r="B27" s="32"/>
      <c r="C27" s="32"/>
      <c r="E27" s="39"/>
      <c r="F27" s="40"/>
    </row>
    <row r="29" spans="2:11" x14ac:dyDescent="0.3">
      <c r="B29" s="32" t="s">
        <v>67</v>
      </c>
      <c r="C29" s="32"/>
      <c r="E29" s="37"/>
      <c r="F29" s="38"/>
      <c r="J29" s="9" t="s">
        <v>322</v>
      </c>
      <c r="K29" s="10">
        <f>IF(E20=1,ROUNDUP((K17+(K17*E26))+((K17+(K17*E26))*E29),0),ROUNDUP((E17+(E17*E26))+((E17+(E17*E26))*E29),0))</f>
        <v>8</v>
      </c>
    </row>
    <row r="30" spans="2:11" x14ac:dyDescent="0.3">
      <c r="B30" s="32"/>
      <c r="C30" s="32"/>
      <c r="E30" s="39"/>
      <c r="F30" s="40"/>
      <c r="J30" s="9" t="s">
        <v>321</v>
      </c>
      <c r="K30" s="10">
        <f>IF(K2&gt;0,(IF(E20=1,E17/(E14*E11),E17*E14*E11)-K2)/(E14*E11), IF(E20=1,K29-(IF(E20=1,E17/(E14*E11),E17*E14*E11)),K29-E17))</f>
        <v>0.92857142857142883</v>
      </c>
    </row>
  </sheetData>
  <mergeCells count="17">
    <mergeCell ref="B23:C24"/>
    <mergeCell ref="E23:F24"/>
    <mergeCell ref="B26:C27"/>
    <mergeCell ref="B29:C30"/>
    <mergeCell ref="E26:F27"/>
    <mergeCell ref="E29:F30"/>
    <mergeCell ref="B17:C18"/>
    <mergeCell ref="B20:C21"/>
    <mergeCell ref="E11:F12"/>
    <mergeCell ref="E14:F15"/>
    <mergeCell ref="E20:F21"/>
    <mergeCell ref="E17:F18"/>
    <mergeCell ref="B2:C3"/>
    <mergeCell ref="B5:C6"/>
    <mergeCell ref="B8:C9"/>
    <mergeCell ref="B11:C12"/>
    <mergeCell ref="B14:C15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C12235-F832-4B4F-B9C1-4D6D2819C59B}">
          <x14:formula1>
            <xm:f>Data!$A$2:$A$3</xm:f>
          </x14:formula1>
          <xm:sqref>E20:F21</xm:sqref>
        </x14:dataValidation>
        <x14:dataValidation type="list" allowBlank="1" showInputMessage="1" showErrorMessage="1" xr:uid="{0424604F-E9AB-419E-B064-59CD39ED83A1}">
          <x14:formula1>
            <xm:f>Data!$B$2:$B$3</xm:f>
          </x14:formula1>
          <xm:sqref>E23:F24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FD01-09A6-41E3-BD83-277D1BCBC587}">
  <sheetPr codeName="Sheet6"/>
  <dimension ref="B2:O26"/>
  <sheetViews>
    <sheetView showGridLines="0" zoomScale="80" zoomScaleNormal="80" workbookViewId="0">
      <selection activeCell="D3" sqref="D3"/>
    </sheetView>
  </sheetViews>
  <sheetFormatPr defaultRowHeight="14.4" x14ac:dyDescent="0.3"/>
  <cols>
    <col min="2" max="2" width="26.6640625" customWidth="1"/>
    <col min="3" max="3" width="3.6640625" customWidth="1"/>
    <col min="4" max="6" width="9" customWidth="1"/>
    <col min="7" max="7" width="17.77734375" customWidth="1"/>
    <col min="12" max="12" width="14" bestFit="1" customWidth="1"/>
    <col min="13" max="13" width="3.33203125" customWidth="1"/>
  </cols>
  <sheetData>
    <row r="2" spans="2:10" x14ac:dyDescent="0.3">
      <c r="B2" s="2" t="s">
        <v>304</v>
      </c>
      <c r="C2" s="2"/>
      <c r="D2" s="22"/>
      <c r="E2" s="21"/>
      <c r="F2" s="2"/>
      <c r="G2" s="2"/>
    </row>
    <row r="4" spans="2:10" x14ac:dyDescent="0.3">
      <c r="D4" s="2" t="s">
        <v>325</v>
      </c>
      <c r="H4" s="2" t="s">
        <v>326</v>
      </c>
    </row>
    <row r="6" spans="2:10" x14ac:dyDescent="0.3">
      <c r="B6" s="20" t="s">
        <v>4</v>
      </c>
      <c r="D6" s="27" t="str">
        <f>_xlfn.XLOOKUP($D$2,InventoryTable[Item ID],InventoryTable[Category],"")</f>
        <v/>
      </c>
      <c r="E6" s="31"/>
      <c r="F6" s="28"/>
      <c r="H6" s="27"/>
      <c r="I6" s="31"/>
      <c r="J6" s="28"/>
    </row>
    <row r="8" spans="2:10" x14ac:dyDescent="0.3">
      <c r="B8" s="20" t="s">
        <v>11</v>
      </c>
      <c r="D8" s="27" t="str">
        <f>_xlfn.XLOOKUP($D$2,InventoryTable[Item ID],InventoryTable[Brand],"")</f>
        <v/>
      </c>
      <c r="E8" s="31"/>
      <c r="F8" s="28"/>
      <c r="H8" s="27"/>
      <c r="I8" s="31"/>
      <c r="J8" s="28"/>
    </row>
    <row r="9" spans="2:10" x14ac:dyDescent="0.3">
      <c r="B9" s="20"/>
      <c r="D9" s="9"/>
      <c r="E9" s="9"/>
      <c r="F9" s="9"/>
      <c r="H9" s="9"/>
      <c r="I9" s="9"/>
      <c r="J9" s="9"/>
    </row>
    <row r="10" spans="2:10" x14ac:dyDescent="0.3">
      <c r="B10" s="20" t="s">
        <v>200</v>
      </c>
      <c r="D10" s="27" t="str">
        <f>_xlfn.XLOOKUP($D$2,InventoryTable[Item ID],InventoryTable[Description],"")</f>
        <v/>
      </c>
      <c r="E10" s="31"/>
      <c r="F10" s="28"/>
      <c r="H10" s="27"/>
      <c r="I10" s="31"/>
      <c r="J10" s="28"/>
    </row>
    <row r="11" spans="2:10" x14ac:dyDescent="0.3">
      <c r="B11" s="20"/>
      <c r="D11" s="9"/>
      <c r="E11" s="9"/>
      <c r="F11" s="9"/>
      <c r="H11" s="9"/>
      <c r="I11" s="9"/>
      <c r="J11" s="9"/>
    </row>
    <row r="12" spans="2:10" x14ac:dyDescent="0.3">
      <c r="B12" s="20" t="s">
        <v>306</v>
      </c>
      <c r="D12" s="27" t="str">
        <f>_xlfn.XLOOKUP($D$2,InventoryTable[Item ID],InventoryTable[Pack Size],"")</f>
        <v/>
      </c>
      <c r="E12" s="28"/>
      <c r="F12" s="9"/>
      <c r="H12" s="27"/>
      <c r="I12" s="28"/>
      <c r="J12" s="9"/>
    </row>
    <row r="13" spans="2:10" x14ac:dyDescent="0.3">
      <c r="B13" s="20"/>
      <c r="D13" s="9"/>
      <c r="E13" s="9"/>
      <c r="F13" s="9"/>
      <c r="H13" s="9"/>
      <c r="I13" s="9"/>
      <c r="J13" s="9"/>
    </row>
    <row r="14" spans="2:10" x14ac:dyDescent="0.3">
      <c r="B14" s="20" t="s">
        <v>201</v>
      </c>
      <c r="D14" s="27" t="str">
        <f>_xlfn.XLOOKUP($D$2,InventoryTable[Item ID],InventoryTable[Pieces],"")</f>
        <v/>
      </c>
      <c r="E14" s="28"/>
      <c r="F14" s="9"/>
      <c r="H14" s="27"/>
      <c r="I14" s="28"/>
      <c r="J14" s="9"/>
    </row>
    <row r="15" spans="2:10" x14ac:dyDescent="0.3">
      <c r="B15" s="20"/>
      <c r="D15" s="9"/>
      <c r="E15" s="9"/>
      <c r="F15" s="9"/>
      <c r="H15" s="9"/>
      <c r="I15" s="9"/>
      <c r="J15" s="9"/>
    </row>
    <row r="16" spans="2:10" x14ac:dyDescent="0.3">
      <c r="B16" s="20" t="s">
        <v>308</v>
      </c>
      <c r="D16" s="27" t="str">
        <f>_xlfn.XLOOKUP($D$2,InventoryTable[Item ID],InventoryTable[Purchase Price],"")</f>
        <v/>
      </c>
      <c r="E16" s="28"/>
      <c r="F16" s="9"/>
      <c r="H16" s="27"/>
      <c r="I16" s="28"/>
      <c r="J16" s="9"/>
    </row>
    <row r="17" spans="2:15" x14ac:dyDescent="0.3">
      <c r="B17" s="20"/>
      <c r="D17" s="9"/>
      <c r="E17" s="9"/>
      <c r="F17" s="9"/>
      <c r="H17" s="9"/>
      <c r="I17" s="9"/>
      <c r="J17" s="9"/>
    </row>
    <row r="18" spans="2:15" x14ac:dyDescent="0.3">
      <c r="B18" s="20" t="s">
        <v>309</v>
      </c>
      <c r="D18" s="27" t="str">
        <f>_xlfn.XLOOKUP($D$2,InventoryTable[Item ID],InventoryTable[Unit Type],"")</f>
        <v/>
      </c>
      <c r="E18" s="28"/>
      <c r="F18" s="9"/>
      <c r="H18" s="27"/>
      <c r="I18" s="28"/>
      <c r="J18" s="9"/>
    </row>
    <row r="19" spans="2:15" x14ac:dyDescent="0.3">
      <c r="B19" s="20"/>
      <c r="D19" s="9"/>
      <c r="E19" s="9"/>
      <c r="F19" s="9"/>
      <c r="H19" s="9"/>
      <c r="I19" s="9"/>
      <c r="J19" s="9"/>
    </row>
    <row r="20" spans="2:15" x14ac:dyDescent="0.3">
      <c r="B20" s="20" t="s">
        <v>320</v>
      </c>
      <c r="D20" s="27" t="str">
        <f>_xlfn.XLOOKUP($D$2,InventoryTable[Item ID],InventoryTable[Product Pricing Type],"")</f>
        <v/>
      </c>
      <c r="E20" s="28"/>
      <c r="F20" s="9"/>
      <c r="H20" s="27"/>
      <c r="I20" s="28"/>
      <c r="J20" s="9"/>
    </row>
    <row r="21" spans="2:15" x14ac:dyDescent="0.3">
      <c r="B21" s="20"/>
      <c r="D21" s="9"/>
      <c r="E21" s="9"/>
      <c r="F21" s="9"/>
      <c r="H21" s="9"/>
      <c r="I21" s="9"/>
      <c r="J21" s="9"/>
    </row>
    <row r="22" spans="2:15" x14ac:dyDescent="0.3">
      <c r="B22" s="20" t="s">
        <v>68</v>
      </c>
      <c r="D22" s="43" t="str">
        <f>_xlfn.XLOOKUP($D$2,InventoryTable[Item ID],InventoryTable[Cost %],"")</f>
        <v/>
      </c>
      <c r="E22" s="44"/>
      <c r="F22" s="9"/>
      <c r="H22" s="45"/>
      <c r="I22" s="46"/>
      <c r="J22" s="9"/>
      <c r="L22" s="2" t="s">
        <v>323</v>
      </c>
      <c r="N22" s="27">
        <f>IF(H18=1,H16/(H14*H12),H16*H14*H12)</f>
        <v>0</v>
      </c>
      <c r="O22" s="28"/>
    </row>
    <row r="23" spans="2:15" x14ac:dyDescent="0.3">
      <c r="B23" s="20"/>
      <c r="D23" s="9"/>
      <c r="E23" s="9"/>
      <c r="F23" s="9"/>
      <c r="H23" s="9"/>
      <c r="I23" s="9"/>
      <c r="J23" s="9"/>
    </row>
    <row r="24" spans="2:15" x14ac:dyDescent="0.3">
      <c r="B24" s="20" t="s">
        <v>67</v>
      </c>
      <c r="D24" s="43" t="str">
        <f>_xlfn.XLOOKUP($D$2,InventoryTable[Item ID],InventoryTable[Markup %],"")</f>
        <v/>
      </c>
      <c r="E24" s="44"/>
      <c r="F24" s="9"/>
      <c r="H24" s="45"/>
      <c r="I24" s="46"/>
      <c r="J24" s="9"/>
      <c r="L24" s="2" t="s">
        <v>322</v>
      </c>
      <c r="N24" s="29">
        <f>IF(H18=1,ROUNDUP((N22+(N22*H22))+((N22+(N22*H22))*H24),0),ROUNDUP((H16+(H16*H22))+((H16+(H16*H22))*H24),0))</f>
        <v>0</v>
      </c>
      <c r="O24" s="30"/>
    </row>
    <row r="26" spans="2:15" x14ac:dyDescent="0.3">
      <c r="B26" s="2" t="s">
        <v>221</v>
      </c>
      <c r="D26" s="27" t="str">
        <f>_xlfn.XLOOKUP($D$2,InventoryTable[Item ID],InventoryTable[Original Price],"")</f>
        <v/>
      </c>
      <c r="E26" s="28"/>
      <c r="H26" s="41"/>
      <c r="I26" s="42"/>
      <c r="L26" s="2" t="s">
        <v>321</v>
      </c>
      <c r="N26" s="29">
        <f>IF(H26&gt;0,(IF(H18=1,H16/(H14*H12),H16*H14*H12)-H26)/(H14*H12), IF(H18=1,N24-N22,N24-H16))</f>
        <v>0</v>
      </c>
      <c r="O26" s="30"/>
    </row>
  </sheetData>
  <mergeCells count="25">
    <mergeCell ref="N26:O26"/>
    <mergeCell ref="D26:E26"/>
    <mergeCell ref="H26:I26"/>
    <mergeCell ref="D24:E24"/>
    <mergeCell ref="H22:I22"/>
    <mergeCell ref="H24:I24"/>
    <mergeCell ref="N22:O22"/>
    <mergeCell ref="D22:E22"/>
    <mergeCell ref="N24:O24"/>
    <mergeCell ref="D6:F6"/>
    <mergeCell ref="H6:J6"/>
    <mergeCell ref="H16:I16"/>
    <mergeCell ref="H18:I18"/>
    <mergeCell ref="H20:I20"/>
    <mergeCell ref="D10:F10"/>
    <mergeCell ref="D12:E12"/>
    <mergeCell ref="D14:E14"/>
    <mergeCell ref="D16:E16"/>
    <mergeCell ref="D18:E18"/>
    <mergeCell ref="H8:J8"/>
    <mergeCell ref="H12:I12"/>
    <mergeCell ref="H14:I14"/>
    <mergeCell ref="D20:E20"/>
    <mergeCell ref="D8:F8"/>
    <mergeCell ref="H10:J1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5F6CB-0771-4B03-959A-617565F3B0C7}">
  <sheetPr codeName="Sheet2"/>
  <dimension ref="A1:AA990"/>
  <sheetViews>
    <sheetView zoomScale="80" zoomScaleNormal="80" workbookViewId="0">
      <pane xSplit="5" ySplit="3" topLeftCell="S4" activePane="bottomRight" state="frozen"/>
      <selection pane="topRight" activeCell="F1" sqref="F1"/>
      <selection pane="bottomLeft" activeCell="A4" sqref="A4"/>
      <selection pane="bottomRight" activeCell="Z5" sqref="Z5"/>
    </sheetView>
  </sheetViews>
  <sheetFormatPr defaultRowHeight="14.4" x14ac:dyDescent="0.3"/>
  <cols>
    <col min="1" max="1" width="14.77734375" customWidth="1"/>
    <col min="2" max="2" width="11" style="7" bestFit="1" customWidth="1"/>
    <col min="3" max="3" width="16" bestFit="1" customWidth="1"/>
    <col min="4" max="4" width="15.44140625" bestFit="1" customWidth="1"/>
    <col min="5" max="5" width="29.21875" bestFit="1" customWidth="1"/>
    <col min="8" max="8" width="9.21875" customWidth="1"/>
    <col min="10" max="10" width="14.5546875" customWidth="1"/>
    <col min="11" max="11" width="10.6640625" customWidth="1"/>
    <col min="12" max="12" width="13" style="2" customWidth="1"/>
    <col min="13" max="13" width="13.88671875" style="5" customWidth="1"/>
    <col min="14" max="14" width="11.44140625" customWidth="1"/>
    <col min="15" max="15" width="17" style="3" customWidth="1"/>
    <col min="16" max="16" width="13.33203125" customWidth="1"/>
    <col min="17" max="17" width="15.44140625" style="4" customWidth="1"/>
    <col min="18" max="18" width="27.44140625" customWidth="1"/>
    <col min="21" max="21" width="14.44140625" customWidth="1"/>
    <col min="22" max="22" width="19.21875" customWidth="1"/>
    <col min="24" max="24" width="14.33203125" customWidth="1"/>
    <col min="25" max="26" width="15.5546875" customWidth="1"/>
  </cols>
  <sheetData>
    <row r="1" spans="1:27" s="2" customFormat="1" x14ac:dyDescent="0.3">
      <c r="A1" s="2" t="s">
        <v>304</v>
      </c>
      <c r="B1" s="6" t="s">
        <v>305</v>
      </c>
      <c r="C1" s="2" t="s">
        <v>4</v>
      </c>
      <c r="D1" s="2" t="s">
        <v>11</v>
      </c>
      <c r="E1" s="2" t="s">
        <v>200</v>
      </c>
      <c r="F1" s="2" t="s">
        <v>306</v>
      </c>
      <c r="G1" s="2" t="s">
        <v>201</v>
      </c>
      <c r="H1" s="2" t="s">
        <v>307</v>
      </c>
      <c r="I1" s="2" t="s">
        <v>308</v>
      </c>
      <c r="J1" s="2" t="s">
        <v>309</v>
      </c>
      <c r="K1" s="2" t="s">
        <v>310</v>
      </c>
      <c r="L1" s="2" t="s">
        <v>320</v>
      </c>
      <c r="M1" s="2" t="s">
        <v>311</v>
      </c>
      <c r="N1" s="2" t="s">
        <v>65</v>
      </c>
      <c r="O1" s="2" t="s">
        <v>312</v>
      </c>
      <c r="P1" s="2" t="s">
        <v>66</v>
      </c>
      <c r="Q1" s="2" t="s">
        <v>313</v>
      </c>
      <c r="R1" s="2" t="s">
        <v>314</v>
      </c>
      <c r="S1" s="2" t="s">
        <v>315</v>
      </c>
      <c r="T1" s="2" t="s">
        <v>319</v>
      </c>
      <c r="U1" s="2" t="s">
        <v>317</v>
      </c>
      <c r="V1" s="2" t="s">
        <v>316</v>
      </c>
      <c r="W1" s="2" t="s">
        <v>318</v>
      </c>
      <c r="X1" s="2" t="s">
        <v>361</v>
      </c>
      <c r="Y1" s="2" t="s">
        <v>362</v>
      </c>
    </row>
    <row r="2" spans="1:27" x14ac:dyDescent="0.3">
      <c r="A2" t="str">
        <f>IF(C2="","",_xlfn.CONCAT(LEFT(InventoryTable[[#This Row],[Category]],1),InventoryTable[[#This Row],[Product Pricing Type]],ROW()))</f>
        <v>PFM2</v>
      </c>
      <c r="B2" s="7">
        <v>46271</v>
      </c>
      <c r="C2" t="s">
        <v>3</v>
      </c>
      <c r="D2" t="s">
        <v>0</v>
      </c>
      <c r="E2" t="s">
        <v>295</v>
      </c>
      <c r="F2">
        <v>1</v>
      </c>
      <c r="G2">
        <v>8</v>
      </c>
      <c r="H2">
        <f t="shared" ref="H2:H65" si="0">IF(C2="","",G2*F2)</f>
        <v>8</v>
      </c>
      <c r="I2">
        <v>13.7</v>
      </c>
      <c r="J2">
        <v>1</v>
      </c>
      <c r="K2">
        <f t="shared" ref="K2:K65" si="1">IF(C2="","",IF(J2=1,I2/H2,I2*G2*F2))</f>
        <v>1.7124999999999999</v>
      </c>
      <c r="L2" s="2" t="s">
        <v>61</v>
      </c>
      <c r="M2" s="5">
        <v>0.05</v>
      </c>
      <c r="N2">
        <f t="shared" ref="N2:N65" si="2">IF(C2="","",IF(J2=1,K2+(K2*M2),I2+(I2*M2)))</f>
        <v>1.798125</v>
      </c>
      <c r="O2" s="3">
        <v>0.8</v>
      </c>
      <c r="P2">
        <f t="shared" ref="P2:P65" si="3">IF(C2="","",N2+(N2*O2))</f>
        <v>3.2366250000000001</v>
      </c>
      <c r="Q2" s="4">
        <f t="shared" ref="Q2:Q65" si="4">IF(C2="","",ROUNDUP(P2,0))</f>
        <v>4</v>
      </c>
      <c r="R2">
        <v>0</v>
      </c>
      <c r="S2">
        <f>IF(C2="","",IF(COUNTIF(C2,"*Fixed*")&gt;0,(K2-R2)/H2,IF(J2=1,Q2-K2,Q2-I2)))</f>
        <v>2.2875000000000001</v>
      </c>
      <c r="T2">
        <f>IF(C2="","",InventoryTable[[#This Row],[Profit per Unit]]*InventoryTable[[#This Row],[Total Pieces]])</f>
        <v>18.3</v>
      </c>
      <c r="U2">
        <f t="shared" ref="U2:U65" si="5">IF(C2="","",0)</f>
        <v>0</v>
      </c>
      <c r="V2">
        <f>IF(C2="","",H2-InventoryTable[[#This Row],[Units Sold]])</f>
        <v>8</v>
      </c>
      <c r="W2">
        <f t="shared" ref="W2:W65" si="6">IF(C2="","",Q2*U2)</f>
        <v>0</v>
      </c>
      <c r="X2">
        <f t="shared" ref="X2:X65" si="7">IF(C2="","",S2*U2)</f>
        <v>0</v>
      </c>
      <c r="Y2" t="str">
        <f>IF(C2="","",IF(InventoryTable[[#This Row],[Stock Balance]]&lt;=0,"Sold Out",IF((InventoryTable[[#This Row],[Stock Balance]]/InventoryTable[[#This Row],[Total Pieces]])&lt;=0.25,"Low on Stocks","Available")))</f>
        <v>Available</v>
      </c>
      <c r="AA2" s="14"/>
    </row>
    <row r="3" spans="1:27" x14ac:dyDescent="0.3">
      <c r="A3" t="str">
        <f>IF(C3="","",_xlfn.CONCAT(LEFT(InventoryTable[[#This Row],[Category]],1),InventoryTable[[#This Row],[Product Pricing Type]],ROW()))</f>
        <v>PNF3</v>
      </c>
      <c r="B3" s="7">
        <v>46268</v>
      </c>
      <c r="C3" t="s">
        <v>3</v>
      </c>
      <c r="D3" t="s">
        <v>0</v>
      </c>
      <c r="E3" t="s">
        <v>1</v>
      </c>
      <c r="F3">
        <v>1</v>
      </c>
      <c r="G3">
        <v>8</v>
      </c>
      <c r="H3">
        <f t="shared" si="0"/>
        <v>8</v>
      </c>
      <c r="I3">
        <v>13.05</v>
      </c>
      <c r="J3">
        <v>1</v>
      </c>
      <c r="K3">
        <f t="shared" si="1"/>
        <v>1.6312500000000001</v>
      </c>
      <c r="L3" s="2" t="s">
        <v>62</v>
      </c>
      <c r="M3" s="5">
        <v>0.05</v>
      </c>
      <c r="N3">
        <f t="shared" si="2"/>
        <v>1.7128125000000001</v>
      </c>
      <c r="O3" s="3">
        <v>0.8</v>
      </c>
      <c r="P3">
        <f t="shared" si="3"/>
        <v>3.0830625000000005</v>
      </c>
      <c r="Q3" s="4">
        <f t="shared" si="4"/>
        <v>4</v>
      </c>
      <c r="R3">
        <v>0</v>
      </c>
      <c r="S3">
        <f t="shared" ref="S3:S65" si="8">IF(C3="","",IF(COUNTIF(C3,"*Fixed*")&gt;0,(K3-R3)/H3,IF(J3=1,Q3-K3,Q3-I3)))</f>
        <v>2.3687499999999999</v>
      </c>
      <c r="T3">
        <f>IF(C3="","",InventoryTable[[#This Row],[Profit per Unit]]*InventoryTable[[#This Row],[Total Pieces]])</f>
        <v>18.95</v>
      </c>
      <c r="U3">
        <f t="shared" si="5"/>
        <v>0</v>
      </c>
      <c r="V3">
        <f>IF(C3="","",H3-InventoryTable[[#This Row],[Units Sold]])</f>
        <v>8</v>
      </c>
      <c r="W3">
        <f t="shared" si="6"/>
        <v>0</v>
      </c>
      <c r="X3">
        <f t="shared" si="7"/>
        <v>0</v>
      </c>
      <c r="Y3" t="str">
        <f>IF(C3="","",IF(InventoryTable[[#This Row],[Stock Balance]]&lt;=0,"Sold Out",IF((InventoryTable[[#This Row],[Stock Balance]]/InventoryTable[[#This Row],[Total Pieces]])&lt;=0.25,"Low on Stocks","Available")))</f>
        <v>Available</v>
      </c>
    </row>
    <row r="4" spans="1:27" x14ac:dyDescent="0.3">
      <c r="A4" t="str">
        <f>IF(C4="","",_xlfn.CONCAT(LEFT(InventoryTable[[#This Row],[Category]],1),InventoryTable[[#This Row],[Product Pricing Type]],ROW()))</f>
        <v>PNF4</v>
      </c>
      <c r="B4" s="7">
        <v>46268</v>
      </c>
      <c r="C4" t="s">
        <v>3</v>
      </c>
      <c r="D4" t="s">
        <v>0</v>
      </c>
      <c r="E4" t="s">
        <v>2</v>
      </c>
      <c r="F4">
        <v>1</v>
      </c>
      <c r="G4">
        <v>8</v>
      </c>
      <c r="H4">
        <f t="shared" si="0"/>
        <v>8</v>
      </c>
      <c r="I4">
        <v>16.2</v>
      </c>
      <c r="J4">
        <v>1</v>
      </c>
      <c r="K4">
        <f t="shared" si="1"/>
        <v>2.0249999999999999</v>
      </c>
      <c r="L4" s="2" t="s">
        <v>62</v>
      </c>
      <c r="M4" s="5">
        <v>0.05</v>
      </c>
      <c r="N4">
        <f t="shared" si="2"/>
        <v>2.1262499999999998</v>
      </c>
      <c r="O4" s="3">
        <v>0.7</v>
      </c>
      <c r="P4">
        <f t="shared" si="3"/>
        <v>3.6146249999999993</v>
      </c>
      <c r="Q4" s="4">
        <f t="shared" si="4"/>
        <v>4</v>
      </c>
      <c r="R4">
        <v>0</v>
      </c>
      <c r="S4">
        <f t="shared" si="8"/>
        <v>1.9750000000000001</v>
      </c>
      <c r="T4">
        <f>IF(C4="","",InventoryTable[[#This Row],[Profit per Unit]]*InventoryTable[[#This Row],[Total Pieces]])</f>
        <v>15.8</v>
      </c>
      <c r="U4">
        <f t="shared" si="5"/>
        <v>0</v>
      </c>
      <c r="V4">
        <f>IF(C4="","",H4-InventoryTable[[#This Row],[Units Sold]])</f>
        <v>8</v>
      </c>
      <c r="W4">
        <f t="shared" si="6"/>
        <v>0</v>
      </c>
      <c r="X4">
        <f t="shared" si="7"/>
        <v>0</v>
      </c>
      <c r="Y4" t="str">
        <f>IF(C4="","",IF(InventoryTable[[#This Row],[Stock Balance]]&lt;=0,"Sold Out",IF((InventoryTable[[#This Row],[Stock Balance]]/InventoryTable[[#This Row],[Total Pieces]])&lt;=0.25,"Low on Stocks","Available")))</f>
        <v>Available</v>
      </c>
    </row>
    <row r="5" spans="1:27" x14ac:dyDescent="0.3">
      <c r="A5" t="str">
        <f>IF(C5="","",_xlfn.CONCAT(LEFT(InventoryTable[[#This Row],[Category]],1),InventoryTable[[#This Row],[Product Pricing Type]],ROW()))</f>
        <v>PNF5</v>
      </c>
      <c r="B5" s="7">
        <v>46268</v>
      </c>
      <c r="C5" t="s">
        <v>3</v>
      </c>
      <c r="D5" t="s">
        <v>5</v>
      </c>
      <c r="E5" t="s">
        <v>6</v>
      </c>
      <c r="F5">
        <v>1</v>
      </c>
      <c r="G5">
        <v>12</v>
      </c>
      <c r="H5">
        <f t="shared" si="0"/>
        <v>12</v>
      </c>
      <c r="I5">
        <v>27</v>
      </c>
      <c r="J5">
        <v>1</v>
      </c>
      <c r="K5">
        <f t="shared" si="1"/>
        <v>2.25</v>
      </c>
      <c r="L5" s="2" t="s">
        <v>62</v>
      </c>
      <c r="M5" s="5">
        <v>0.05</v>
      </c>
      <c r="N5">
        <f t="shared" si="2"/>
        <v>2.3624999999999998</v>
      </c>
      <c r="O5" s="3">
        <v>0.7</v>
      </c>
      <c r="P5">
        <f t="shared" si="3"/>
        <v>4.0162499999999994</v>
      </c>
      <c r="Q5" s="4">
        <f t="shared" si="4"/>
        <v>5</v>
      </c>
      <c r="R5">
        <v>0</v>
      </c>
      <c r="S5">
        <f t="shared" si="8"/>
        <v>2.75</v>
      </c>
      <c r="T5">
        <f>IF(C5="","",InventoryTable[[#This Row],[Profit per Unit]]*InventoryTable[[#This Row],[Total Pieces]])</f>
        <v>33</v>
      </c>
      <c r="U5">
        <f t="shared" si="5"/>
        <v>0</v>
      </c>
      <c r="V5">
        <f>IF(C5="","",H5-InventoryTable[[#This Row],[Units Sold]])</f>
        <v>12</v>
      </c>
      <c r="W5">
        <f t="shared" si="6"/>
        <v>0</v>
      </c>
      <c r="X5">
        <f t="shared" si="7"/>
        <v>0</v>
      </c>
      <c r="Y5" t="str">
        <f>IF(C5="","",IF(InventoryTable[[#This Row],[Stock Balance]]&lt;=0,"Sold Out",IF((InventoryTable[[#This Row],[Stock Balance]]/InventoryTable[[#This Row],[Total Pieces]])&lt;=0.25,"Low on Stocks","Available")))</f>
        <v>Available</v>
      </c>
    </row>
    <row r="6" spans="1:27" x14ac:dyDescent="0.3">
      <c r="A6" t="str">
        <f>IF(C6="","",_xlfn.CONCAT(LEFT(InventoryTable[[#This Row],[Category]],1),InventoryTable[[#This Row],[Product Pricing Type]],ROW()))</f>
        <v>PNF6</v>
      </c>
      <c r="B6" s="7">
        <v>46268</v>
      </c>
      <c r="C6" t="s">
        <v>3</v>
      </c>
      <c r="D6" t="s">
        <v>7</v>
      </c>
      <c r="E6" t="s">
        <v>8</v>
      </c>
      <c r="F6">
        <v>1</v>
      </c>
      <c r="G6">
        <v>10</v>
      </c>
      <c r="H6">
        <f t="shared" si="0"/>
        <v>10</v>
      </c>
      <c r="I6">
        <v>40.200000000000003</v>
      </c>
      <c r="J6">
        <v>1</v>
      </c>
      <c r="K6">
        <f t="shared" si="1"/>
        <v>4.0200000000000005</v>
      </c>
      <c r="L6" s="2" t="s">
        <v>62</v>
      </c>
      <c r="M6" s="5">
        <v>0.05</v>
      </c>
      <c r="N6">
        <f t="shared" si="2"/>
        <v>4.2210000000000001</v>
      </c>
      <c r="O6" s="3">
        <v>0.6</v>
      </c>
      <c r="P6">
        <f t="shared" si="3"/>
        <v>6.7536000000000005</v>
      </c>
      <c r="Q6" s="4">
        <f t="shared" si="4"/>
        <v>7</v>
      </c>
      <c r="R6">
        <v>0</v>
      </c>
      <c r="S6">
        <f t="shared" si="8"/>
        <v>2.9799999999999995</v>
      </c>
      <c r="T6">
        <f>IF(C6="","",InventoryTable[[#This Row],[Profit per Unit]]*InventoryTable[[#This Row],[Total Pieces]])</f>
        <v>29.799999999999997</v>
      </c>
      <c r="U6">
        <f t="shared" si="5"/>
        <v>0</v>
      </c>
      <c r="V6">
        <f>IF(C6="","",H6-InventoryTable[[#This Row],[Units Sold]])</f>
        <v>10</v>
      </c>
      <c r="W6">
        <f t="shared" si="6"/>
        <v>0</v>
      </c>
      <c r="X6">
        <f t="shared" si="7"/>
        <v>0</v>
      </c>
      <c r="Y6" t="str">
        <f>IF(C6="","",IF(InventoryTable[[#This Row],[Stock Balance]]&lt;=0,"Sold Out",IF((InventoryTable[[#This Row],[Stock Balance]]/InventoryTable[[#This Row],[Total Pieces]])&lt;=0.25,"Low on Stocks","Available")))</f>
        <v>Available</v>
      </c>
    </row>
    <row r="7" spans="1:27" x14ac:dyDescent="0.3">
      <c r="A7" t="str">
        <f>IF(C7="","",_xlfn.CONCAT(LEFT(InventoryTable[[#This Row],[Category]],1),InventoryTable[[#This Row],[Product Pricing Type]],ROW()))</f>
        <v>PNF7</v>
      </c>
      <c r="B7" s="7">
        <v>46268</v>
      </c>
      <c r="C7" t="s">
        <v>3</v>
      </c>
      <c r="D7" t="s">
        <v>9</v>
      </c>
      <c r="E7" t="s">
        <v>10</v>
      </c>
      <c r="F7">
        <v>1</v>
      </c>
      <c r="G7">
        <v>9</v>
      </c>
      <c r="H7">
        <f t="shared" si="0"/>
        <v>9</v>
      </c>
      <c r="I7">
        <v>27.75</v>
      </c>
      <c r="J7">
        <v>1</v>
      </c>
      <c r="K7">
        <f t="shared" si="1"/>
        <v>3.0833333333333335</v>
      </c>
      <c r="L7" s="2" t="s">
        <v>62</v>
      </c>
      <c r="M7" s="5">
        <v>0.05</v>
      </c>
      <c r="N7">
        <f t="shared" si="2"/>
        <v>3.2375000000000003</v>
      </c>
      <c r="O7" s="3">
        <v>0.6</v>
      </c>
      <c r="P7">
        <f t="shared" si="3"/>
        <v>5.1800000000000006</v>
      </c>
      <c r="Q7" s="4">
        <f t="shared" si="4"/>
        <v>6</v>
      </c>
      <c r="R7">
        <v>0</v>
      </c>
      <c r="S7">
        <f t="shared" si="8"/>
        <v>2.9166666666666665</v>
      </c>
      <c r="T7">
        <f>IF(C7="","",InventoryTable[[#This Row],[Profit per Unit]]*InventoryTable[[#This Row],[Total Pieces]])</f>
        <v>26.25</v>
      </c>
      <c r="U7">
        <f t="shared" si="5"/>
        <v>0</v>
      </c>
      <c r="V7">
        <f>IF(C7="","",H7-InventoryTable[[#This Row],[Units Sold]])</f>
        <v>9</v>
      </c>
      <c r="W7">
        <f t="shared" si="6"/>
        <v>0</v>
      </c>
      <c r="X7">
        <f t="shared" si="7"/>
        <v>0</v>
      </c>
      <c r="Y7" t="str">
        <f>IF(C7="","",IF(InventoryTable[[#This Row],[Stock Balance]]&lt;=0,"Sold Out",IF((InventoryTable[[#This Row],[Stock Balance]]/InventoryTable[[#This Row],[Total Pieces]])&lt;=0.25,"Low on Stocks","Available")))</f>
        <v>Available</v>
      </c>
    </row>
    <row r="8" spans="1:27" x14ac:dyDescent="0.3">
      <c r="A8" t="str">
        <f>IF(C8="","",_xlfn.CONCAT(LEFT(InventoryTable[[#This Row],[Category]],1),InventoryTable[[#This Row],[Product Pricing Type]],ROW()))</f>
        <v>TNF8</v>
      </c>
      <c r="B8" s="7">
        <v>46268</v>
      </c>
      <c r="C8" t="s">
        <v>12</v>
      </c>
      <c r="D8" t="s">
        <v>13</v>
      </c>
      <c r="E8" t="s">
        <v>14</v>
      </c>
      <c r="F8">
        <v>1</v>
      </c>
      <c r="G8">
        <v>6</v>
      </c>
      <c r="H8">
        <f t="shared" si="0"/>
        <v>6</v>
      </c>
      <c r="I8">
        <v>15</v>
      </c>
      <c r="J8">
        <v>0</v>
      </c>
      <c r="K8">
        <f t="shared" si="1"/>
        <v>90</v>
      </c>
      <c r="L8" s="2" t="s">
        <v>62</v>
      </c>
      <c r="M8" s="5">
        <v>0.05</v>
      </c>
      <c r="N8">
        <f t="shared" si="2"/>
        <v>15.75</v>
      </c>
      <c r="O8" s="3">
        <v>0.25</v>
      </c>
      <c r="P8">
        <f t="shared" si="3"/>
        <v>19.6875</v>
      </c>
      <c r="Q8" s="4">
        <f t="shared" si="4"/>
        <v>20</v>
      </c>
      <c r="R8">
        <v>0</v>
      </c>
      <c r="S8">
        <f t="shared" si="8"/>
        <v>5</v>
      </c>
      <c r="T8">
        <f>IF(C8="","",InventoryTable[[#This Row],[Profit per Unit]]*InventoryTable[[#This Row],[Total Pieces]])</f>
        <v>30</v>
      </c>
      <c r="U8">
        <f t="shared" si="5"/>
        <v>0</v>
      </c>
      <c r="V8">
        <f>IF(C8="","",H8-InventoryTable[[#This Row],[Units Sold]])</f>
        <v>6</v>
      </c>
      <c r="W8">
        <f t="shared" si="6"/>
        <v>0</v>
      </c>
      <c r="X8">
        <f t="shared" si="7"/>
        <v>0</v>
      </c>
      <c r="Y8" t="str">
        <f>IF(C8="","",IF(InventoryTable[[#This Row],[Stock Balance]]&lt;=0,"Sold Out",IF((InventoryTable[[#This Row],[Stock Balance]]/InventoryTable[[#This Row],[Total Pieces]])&lt;=0.25,"Low on Stocks","Available")))</f>
        <v>Available</v>
      </c>
    </row>
    <row r="9" spans="1:27" x14ac:dyDescent="0.3">
      <c r="A9" t="str">
        <f>IF(C9="","",_xlfn.CONCAT(LEFT(InventoryTable[[#This Row],[Category]],1),InventoryTable[[#This Row],[Product Pricing Type]],ROW()))</f>
        <v>SFM9</v>
      </c>
      <c r="B9" s="7">
        <v>46268</v>
      </c>
      <c r="C9" t="s">
        <v>15</v>
      </c>
      <c r="D9" t="s">
        <v>16</v>
      </c>
      <c r="E9" t="s">
        <v>2</v>
      </c>
      <c r="F9">
        <v>1</v>
      </c>
      <c r="G9">
        <v>11</v>
      </c>
      <c r="H9">
        <f t="shared" si="0"/>
        <v>11</v>
      </c>
      <c r="I9">
        <v>5.85</v>
      </c>
      <c r="J9">
        <v>0</v>
      </c>
      <c r="K9">
        <f t="shared" si="1"/>
        <v>64.349999999999994</v>
      </c>
      <c r="L9" s="2" t="s">
        <v>61</v>
      </c>
      <c r="M9" s="5">
        <v>0.05</v>
      </c>
      <c r="N9">
        <f t="shared" si="2"/>
        <v>6.1425000000000001</v>
      </c>
      <c r="O9" s="3">
        <v>0.2</v>
      </c>
      <c r="P9">
        <f t="shared" si="3"/>
        <v>7.3710000000000004</v>
      </c>
      <c r="Q9" s="4">
        <f t="shared" si="4"/>
        <v>8</v>
      </c>
      <c r="R9">
        <v>0</v>
      </c>
      <c r="S9">
        <f t="shared" si="8"/>
        <v>2.1500000000000004</v>
      </c>
      <c r="T9">
        <f>IF(C9="","",InventoryTable[[#This Row],[Profit per Unit]]*InventoryTable[[#This Row],[Total Pieces]])</f>
        <v>23.650000000000006</v>
      </c>
      <c r="U9">
        <f t="shared" si="5"/>
        <v>0</v>
      </c>
      <c r="V9">
        <f>IF(C9="","",H9-InventoryTable[[#This Row],[Units Sold]])</f>
        <v>11</v>
      </c>
      <c r="W9">
        <f t="shared" si="6"/>
        <v>0</v>
      </c>
      <c r="X9">
        <f t="shared" si="7"/>
        <v>0</v>
      </c>
      <c r="Y9" t="str">
        <f>IF(C9="","",IF(InventoryTable[[#This Row],[Stock Balance]]&lt;=0,"Sold Out",IF((InventoryTable[[#This Row],[Stock Balance]]/InventoryTable[[#This Row],[Total Pieces]])&lt;=0.25,"Low on Stocks","Available")))</f>
        <v>Available</v>
      </c>
    </row>
    <row r="10" spans="1:27" x14ac:dyDescent="0.3">
      <c r="A10" t="str">
        <f>IF(C10="","",_xlfn.CONCAT(LEFT(InventoryTable[[#This Row],[Category]],1),InventoryTable[[#This Row],[Product Pricing Type]],ROW()))</f>
        <v>FFM10</v>
      </c>
      <c r="B10" s="7">
        <v>46268</v>
      </c>
      <c r="C10" t="s">
        <v>17</v>
      </c>
      <c r="D10" t="s">
        <v>18</v>
      </c>
      <c r="E10" t="s">
        <v>20</v>
      </c>
      <c r="F10">
        <v>1</v>
      </c>
      <c r="G10">
        <v>6</v>
      </c>
      <c r="H10">
        <f t="shared" si="0"/>
        <v>6</v>
      </c>
      <c r="I10">
        <v>13.1</v>
      </c>
      <c r="J10">
        <v>0</v>
      </c>
      <c r="K10">
        <f t="shared" si="1"/>
        <v>78.599999999999994</v>
      </c>
      <c r="L10" s="2" t="s">
        <v>61</v>
      </c>
      <c r="M10" s="5">
        <v>0.05</v>
      </c>
      <c r="N10">
        <f t="shared" si="2"/>
        <v>13.754999999999999</v>
      </c>
      <c r="O10" s="3">
        <v>0.1</v>
      </c>
      <c r="P10">
        <f t="shared" si="3"/>
        <v>15.1305</v>
      </c>
      <c r="Q10" s="4">
        <f t="shared" si="4"/>
        <v>16</v>
      </c>
      <c r="R10">
        <v>0</v>
      </c>
      <c r="S10">
        <f t="shared" si="8"/>
        <v>2.9000000000000004</v>
      </c>
      <c r="T10">
        <f>IF(C10="","",InventoryTable[[#This Row],[Profit per Unit]]*InventoryTable[[#This Row],[Total Pieces]])</f>
        <v>17.400000000000002</v>
      </c>
      <c r="U10">
        <v>2</v>
      </c>
      <c r="V10">
        <f>IF(C10="","",H10-InventoryTable[[#This Row],[Units Sold]])</f>
        <v>4</v>
      </c>
      <c r="W10">
        <f t="shared" si="6"/>
        <v>32</v>
      </c>
      <c r="X10">
        <f t="shared" si="7"/>
        <v>5.8000000000000007</v>
      </c>
      <c r="Y10" t="str">
        <f>IF(C10="","",IF(InventoryTable[[#This Row],[Stock Balance]]&lt;=0,"Sold Out",IF((InventoryTable[[#This Row],[Stock Balance]]/InventoryTable[[#This Row],[Total Pieces]])&lt;=0.25,"Low on Stocks","Available")))</f>
        <v>Available</v>
      </c>
    </row>
    <row r="11" spans="1:27" x14ac:dyDescent="0.3">
      <c r="A11" t="str">
        <f>IF(C11="","",_xlfn.CONCAT(LEFT(InventoryTable[[#This Row],[Category]],1),InventoryTable[[#This Row],[Product Pricing Type]],ROW()))</f>
        <v>FFM11</v>
      </c>
      <c r="B11" s="7">
        <v>46268</v>
      </c>
      <c r="C11" t="s">
        <v>17</v>
      </c>
      <c r="D11" t="s">
        <v>18</v>
      </c>
      <c r="E11" t="s">
        <v>19</v>
      </c>
      <c r="F11">
        <v>1</v>
      </c>
      <c r="G11">
        <v>10</v>
      </c>
      <c r="H11">
        <f t="shared" si="0"/>
        <v>10</v>
      </c>
      <c r="I11">
        <v>5.65</v>
      </c>
      <c r="J11">
        <v>0</v>
      </c>
      <c r="K11">
        <f t="shared" si="1"/>
        <v>56.5</v>
      </c>
      <c r="L11" s="2" t="s">
        <v>61</v>
      </c>
      <c r="M11" s="5">
        <v>0.05</v>
      </c>
      <c r="N11">
        <f t="shared" si="2"/>
        <v>5.9325000000000001</v>
      </c>
      <c r="O11" s="3">
        <v>0.25</v>
      </c>
      <c r="P11">
        <f t="shared" si="3"/>
        <v>7.4156250000000004</v>
      </c>
      <c r="Q11" s="4">
        <f t="shared" si="4"/>
        <v>8</v>
      </c>
      <c r="R11">
        <v>0</v>
      </c>
      <c r="S11">
        <f t="shared" si="8"/>
        <v>2.3499999999999996</v>
      </c>
      <c r="T11">
        <f>IF(C11="","",InventoryTable[[#This Row],[Profit per Unit]]*InventoryTable[[#This Row],[Total Pieces]])</f>
        <v>23.499999999999996</v>
      </c>
      <c r="U11">
        <f t="shared" si="5"/>
        <v>0</v>
      </c>
      <c r="V11">
        <f>IF(C11="","",H11-InventoryTable[[#This Row],[Units Sold]])</f>
        <v>10</v>
      </c>
      <c r="W11">
        <f t="shared" si="6"/>
        <v>0</v>
      </c>
      <c r="X11">
        <f t="shared" si="7"/>
        <v>0</v>
      </c>
      <c r="Y11" t="str">
        <f>IF(C11="","",IF(InventoryTable[[#This Row],[Stock Balance]]&lt;=0,"Sold Out",IF((InventoryTable[[#This Row],[Stock Balance]]/InventoryTable[[#This Row],[Total Pieces]])&lt;=0.25,"Low on Stocks","Available")))</f>
        <v>Available</v>
      </c>
    </row>
    <row r="12" spans="1:27" x14ac:dyDescent="0.3">
      <c r="A12" t="str">
        <f>IF(C12="","",_xlfn.CONCAT(LEFT(InventoryTable[[#This Row],[Category]],1),InventoryTable[[#This Row],[Product Pricing Type]],ROW()))</f>
        <v>CFM12</v>
      </c>
      <c r="B12" s="7">
        <v>46268</v>
      </c>
      <c r="C12" t="s">
        <v>21</v>
      </c>
      <c r="D12" t="s">
        <v>22</v>
      </c>
      <c r="E12" t="s">
        <v>23</v>
      </c>
      <c r="F12">
        <v>1</v>
      </c>
      <c r="G12">
        <v>12</v>
      </c>
      <c r="H12">
        <f t="shared" si="0"/>
        <v>12</v>
      </c>
      <c r="I12">
        <v>69.7</v>
      </c>
      <c r="J12">
        <v>1</v>
      </c>
      <c r="K12">
        <f t="shared" si="1"/>
        <v>5.8083333333333336</v>
      </c>
      <c r="L12" s="2" t="s">
        <v>61</v>
      </c>
      <c r="M12" s="5">
        <v>0.05</v>
      </c>
      <c r="N12">
        <f t="shared" si="2"/>
        <v>6.0987499999999999</v>
      </c>
      <c r="O12" s="3">
        <v>0.2</v>
      </c>
      <c r="P12">
        <f t="shared" si="3"/>
        <v>7.3185000000000002</v>
      </c>
      <c r="Q12" s="4">
        <f t="shared" si="4"/>
        <v>8</v>
      </c>
      <c r="R12">
        <v>0</v>
      </c>
      <c r="S12">
        <f t="shared" si="8"/>
        <v>2.1916666666666664</v>
      </c>
      <c r="T12">
        <f>IF(C12="","",InventoryTable[[#This Row],[Profit per Unit]]*InventoryTable[[#This Row],[Total Pieces]])</f>
        <v>26.299999999999997</v>
      </c>
      <c r="U12">
        <f t="shared" si="5"/>
        <v>0</v>
      </c>
      <c r="V12">
        <f>IF(C12="","",H12-InventoryTable[[#This Row],[Units Sold]])</f>
        <v>12</v>
      </c>
      <c r="W12">
        <f t="shared" si="6"/>
        <v>0</v>
      </c>
      <c r="X12">
        <f t="shared" si="7"/>
        <v>0</v>
      </c>
      <c r="Y12" t="str">
        <f>IF(C12="","",IF(InventoryTable[[#This Row],[Stock Balance]]&lt;=0,"Sold Out",IF((InventoryTable[[#This Row],[Stock Balance]]/InventoryTable[[#This Row],[Total Pieces]])&lt;=0.25,"Low on Stocks","Available")))</f>
        <v>Available</v>
      </c>
    </row>
    <row r="13" spans="1:27" x14ac:dyDescent="0.3">
      <c r="A13" t="str">
        <f>IF(C13="","",_xlfn.CONCAT(LEFT(InventoryTable[[#This Row],[Category]],1),InventoryTable[[#This Row],[Product Pricing Type]],ROW()))</f>
        <v>TFM13</v>
      </c>
      <c r="B13" s="7">
        <v>46268</v>
      </c>
      <c r="C13" t="s">
        <v>24</v>
      </c>
      <c r="D13" t="s">
        <v>25</v>
      </c>
      <c r="E13" t="s">
        <v>26</v>
      </c>
      <c r="F13">
        <v>1</v>
      </c>
      <c r="G13">
        <v>11</v>
      </c>
      <c r="H13">
        <f t="shared" si="0"/>
        <v>11</v>
      </c>
      <c r="I13">
        <v>7.9</v>
      </c>
      <c r="J13">
        <v>0</v>
      </c>
      <c r="K13">
        <f t="shared" si="1"/>
        <v>86.9</v>
      </c>
      <c r="L13" s="2" t="s">
        <v>61</v>
      </c>
      <c r="M13" s="5">
        <v>0.05</v>
      </c>
      <c r="N13">
        <f t="shared" si="2"/>
        <v>8.2949999999999999</v>
      </c>
      <c r="O13" s="3">
        <v>0.2</v>
      </c>
      <c r="P13">
        <f t="shared" si="3"/>
        <v>9.9540000000000006</v>
      </c>
      <c r="Q13" s="4">
        <f t="shared" si="4"/>
        <v>10</v>
      </c>
      <c r="R13">
        <v>0</v>
      </c>
      <c r="S13">
        <f t="shared" si="8"/>
        <v>2.0999999999999996</v>
      </c>
      <c r="T13">
        <f>IF(C13="","",InventoryTable[[#This Row],[Profit per Unit]]*InventoryTable[[#This Row],[Total Pieces]])</f>
        <v>23.099999999999994</v>
      </c>
      <c r="U13">
        <f t="shared" si="5"/>
        <v>0</v>
      </c>
      <c r="V13">
        <f>IF(C13="","",H13-InventoryTable[[#This Row],[Units Sold]])</f>
        <v>11</v>
      </c>
      <c r="W13">
        <f t="shared" si="6"/>
        <v>0</v>
      </c>
      <c r="X13">
        <f t="shared" si="7"/>
        <v>0</v>
      </c>
      <c r="Y13" t="str">
        <f>IF(C13="","",IF(InventoryTable[[#This Row],[Stock Balance]]&lt;=0,"Sold Out",IF((InventoryTable[[#This Row],[Stock Balance]]/InventoryTable[[#This Row],[Total Pieces]])&lt;=0.25,"Low on Stocks","Available")))</f>
        <v>Available</v>
      </c>
    </row>
    <row r="14" spans="1:27" x14ac:dyDescent="0.3">
      <c r="A14" t="str">
        <f>IF(C14="","",_xlfn.CONCAT(LEFT(InventoryTable[[#This Row],[Category]],1),InventoryTable[[#This Row],[Product Pricing Type]],ROW()))</f>
        <v>TFM14</v>
      </c>
      <c r="B14" s="7">
        <v>46268</v>
      </c>
      <c r="C14" t="s">
        <v>24</v>
      </c>
      <c r="D14" t="s">
        <v>25</v>
      </c>
      <c r="E14" t="s">
        <v>27</v>
      </c>
      <c r="F14">
        <v>1</v>
      </c>
      <c r="G14">
        <v>11</v>
      </c>
      <c r="H14">
        <f t="shared" si="0"/>
        <v>11</v>
      </c>
      <c r="I14">
        <v>7.9</v>
      </c>
      <c r="J14">
        <v>0</v>
      </c>
      <c r="K14">
        <f t="shared" si="1"/>
        <v>86.9</v>
      </c>
      <c r="L14" s="2" t="s">
        <v>61</v>
      </c>
      <c r="M14" s="5">
        <v>0.05</v>
      </c>
      <c r="N14">
        <f t="shared" si="2"/>
        <v>8.2949999999999999</v>
      </c>
      <c r="O14" s="3">
        <v>0.2</v>
      </c>
      <c r="P14">
        <f t="shared" si="3"/>
        <v>9.9540000000000006</v>
      </c>
      <c r="Q14" s="4">
        <f t="shared" si="4"/>
        <v>10</v>
      </c>
      <c r="R14">
        <v>0</v>
      </c>
      <c r="S14">
        <f t="shared" si="8"/>
        <v>2.0999999999999996</v>
      </c>
      <c r="T14">
        <f>IF(C14="","",InventoryTable[[#This Row],[Profit per Unit]]*InventoryTable[[#This Row],[Total Pieces]])</f>
        <v>23.099999999999994</v>
      </c>
      <c r="U14">
        <f t="shared" si="5"/>
        <v>0</v>
      </c>
      <c r="V14">
        <f>IF(C14="","",H14-InventoryTable[[#This Row],[Units Sold]])</f>
        <v>11</v>
      </c>
      <c r="W14">
        <f t="shared" si="6"/>
        <v>0</v>
      </c>
      <c r="X14">
        <f t="shared" si="7"/>
        <v>0</v>
      </c>
      <c r="Y14" t="str">
        <f>IF(C14="","",IF(InventoryTable[[#This Row],[Stock Balance]]&lt;=0,"Sold Out",IF((InventoryTable[[#This Row],[Stock Balance]]/InventoryTable[[#This Row],[Total Pieces]])&lt;=0.25,"Low on Stocks","Available")))</f>
        <v>Available</v>
      </c>
    </row>
    <row r="15" spans="1:27" x14ac:dyDescent="0.3">
      <c r="A15" t="str">
        <f>IF(C15="","",_xlfn.CONCAT(LEFT(InventoryTable[[#This Row],[Category]],1),InventoryTable[[#This Row],[Product Pricing Type]],ROW()))</f>
        <v>TFM15</v>
      </c>
      <c r="B15" s="7">
        <v>46268</v>
      </c>
      <c r="C15" t="s">
        <v>24</v>
      </c>
      <c r="D15" t="s">
        <v>28</v>
      </c>
      <c r="E15" t="s">
        <v>29</v>
      </c>
      <c r="F15">
        <v>1</v>
      </c>
      <c r="G15">
        <v>23</v>
      </c>
      <c r="H15">
        <f t="shared" si="0"/>
        <v>23</v>
      </c>
      <c r="I15">
        <v>8.4</v>
      </c>
      <c r="J15">
        <v>0</v>
      </c>
      <c r="K15">
        <f t="shared" si="1"/>
        <v>193.20000000000002</v>
      </c>
      <c r="L15" s="2" t="s">
        <v>61</v>
      </c>
      <c r="M15" s="5">
        <v>0.05</v>
      </c>
      <c r="N15">
        <f t="shared" si="2"/>
        <v>8.82</v>
      </c>
      <c r="O15" s="3">
        <v>0.2</v>
      </c>
      <c r="P15">
        <f t="shared" si="3"/>
        <v>10.584</v>
      </c>
      <c r="Q15" s="4">
        <f t="shared" si="4"/>
        <v>11</v>
      </c>
      <c r="R15">
        <v>0</v>
      </c>
      <c r="S15">
        <f t="shared" si="8"/>
        <v>2.5999999999999996</v>
      </c>
      <c r="T15">
        <f>IF(C15="","",InventoryTable[[#This Row],[Profit per Unit]]*InventoryTable[[#This Row],[Total Pieces]])</f>
        <v>59.79999999999999</v>
      </c>
      <c r="U15">
        <f t="shared" si="5"/>
        <v>0</v>
      </c>
      <c r="V15">
        <f>IF(C15="","",H15-InventoryTable[[#This Row],[Units Sold]])</f>
        <v>23</v>
      </c>
      <c r="W15">
        <f t="shared" si="6"/>
        <v>0</v>
      </c>
      <c r="X15">
        <f t="shared" si="7"/>
        <v>0</v>
      </c>
      <c r="Y15" t="str">
        <f>IF(C15="","",IF(InventoryTable[[#This Row],[Stock Balance]]&lt;=0,"Sold Out",IF((InventoryTable[[#This Row],[Stock Balance]]/InventoryTable[[#This Row],[Total Pieces]])&lt;=0.25,"Low on Stocks","Available")))</f>
        <v>Available</v>
      </c>
    </row>
    <row r="16" spans="1:27" x14ac:dyDescent="0.3">
      <c r="A16" t="str">
        <f>IF(C16="","",_xlfn.CONCAT(LEFT(InventoryTable[[#This Row],[Category]],1),InventoryTable[[#This Row],[Product Pricing Type]],ROW()))</f>
        <v>SFM16</v>
      </c>
      <c r="B16" s="7">
        <v>46268</v>
      </c>
      <c r="C16" t="s">
        <v>15</v>
      </c>
      <c r="D16" t="s">
        <v>30</v>
      </c>
      <c r="E16" t="s">
        <v>2</v>
      </c>
      <c r="F16">
        <v>1</v>
      </c>
      <c r="G16">
        <v>12</v>
      </c>
      <c r="H16">
        <f t="shared" si="0"/>
        <v>12</v>
      </c>
      <c r="I16">
        <v>64.349999999999994</v>
      </c>
      <c r="J16">
        <v>1</v>
      </c>
      <c r="K16">
        <f t="shared" si="1"/>
        <v>5.3624999999999998</v>
      </c>
      <c r="L16" s="2" t="s">
        <v>61</v>
      </c>
      <c r="M16" s="5">
        <v>0.05</v>
      </c>
      <c r="N16">
        <f t="shared" si="2"/>
        <v>5.6306250000000002</v>
      </c>
      <c r="O16" s="3">
        <v>0.25</v>
      </c>
      <c r="P16">
        <f t="shared" si="3"/>
        <v>7.0382812500000007</v>
      </c>
      <c r="Q16" s="4">
        <f t="shared" si="4"/>
        <v>8</v>
      </c>
      <c r="R16">
        <v>0</v>
      </c>
      <c r="S16">
        <f t="shared" si="8"/>
        <v>2.6375000000000002</v>
      </c>
      <c r="T16">
        <f>IF(C16="","",InventoryTable[[#This Row],[Profit per Unit]]*InventoryTable[[#This Row],[Total Pieces]])</f>
        <v>31.650000000000002</v>
      </c>
      <c r="U16">
        <f t="shared" si="5"/>
        <v>0</v>
      </c>
      <c r="V16">
        <f>IF(C16="","",H16-InventoryTable[[#This Row],[Units Sold]])</f>
        <v>12</v>
      </c>
      <c r="W16">
        <f t="shared" si="6"/>
        <v>0</v>
      </c>
      <c r="X16">
        <f t="shared" si="7"/>
        <v>0</v>
      </c>
      <c r="Y16" t="str">
        <f>IF(C16="","",IF(InventoryTable[[#This Row],[Stock Balance]]&lt;=0,"Sold Out",IF((InventoryTable[[#This Row],[Stock Balance]]/InventoryTable[[#This Row],[Total Pieces]])&lt;=0.25,"Low on Stocks","Available")))</f>
        <v>Available</v>
      </c>
    </row>
    <row r="17" spans="1:25" x14ac:dyDescent="0.3">
      <c r="A17" t="str">
        <f>IF(C17="","",_xlfn.CONCAT(LEFT(InventoryTable[[#This Row],[Category]],1),InventoryTable[[#This Row],[Product Pricing Type]],ROW()))</f>
        <v>SFM17</v>
      </c>
      <c r="B17" s="7">
        <v>46268</v>
      </c>
      <c r="C17" t="s">
        <v>15</v>
      </c>
      <c r="D17" t="s">
        <v>30</v>
      </c>
      <c r="E17" t="s">
        <v>31</v>
      </c>
      <c r="F17">
        <v>1</v>
      </c>
      <c r="G17">
        <v>12</v>
      </c>
      <c r="H17">
        <f t="shared" si="0"/>
        <v>12</v>
      </c>
      <c r="I17">
        <v>64.349999999999994</v>
      </c>
      <c r="J17">
        <v>1</v>
      </c>
      <c r="K17">
        <f t="shared" si="1"/>
        <v>5.3624999999999998</v>
      </c>
      <c r="L17" s="2" t="s">
        <v>61</v>
      </c>
      <c r="M17" s="5">
        <v>0.05</v>
      </c>
      <c r="N17">
        <f t="shared" si="2"/>
        <v>5.6306250000000002</v>
      </c>
      <c r="O17" s="3">
        <v>0.25</v>
      </c>
      <c r="P17">
        <f t="shared" si="3"/>
        <v>7.0382812500000007</v>
      </c>
      <c r="Q17" s="4">
        <f t="shared" si="4"/>
        <v>8</v>
      </c>
      <c r="R17">
        <v>0</v>
      </c>
      <c r="S17">
        <f t="shared" si="8"/>
        <v>2.6375000000000002</v>
      </c>
      <c r="T17">
        <f>IF(C17="","",InventoryTable[[#This Row],[Profit per Unit]]*InventoryTable[[#This Row],[Total Pieces]])</f>
        <v>31.650000000000002</v>
      </c>
      <c r="U17">
        <f t="shared" si="5"/>
        <v>0</v>
      </c>
      <c r="V17">
        <f>IF(C17="","",H17-InventoryTable[[#This Row],[Units Sold]])</f>
        <v>12</v>
      </c>
      <c r="W17">
        <f t="shared" si="6"/>
        <v>0</v>
      </c>
      <c r="X17">
        <f t="shared" si="7"/>
        <v>0</v>
      </c>
      <c r="Y17" t="str">
        <f>IF(C17="","",IF(InventoryTable[[#This Row],[Stock Balance]]&lt;=0,"Sold Out",IF((InventoryTable[[#This Row],[Stock Balance]]/InventoryTable[[#This Row],[Total Pieces]])&lt;=0.25,"Low on Stocks","Available")))</f>
        <v>Available</v>
      </c>
    </row>
    <row r="18" spans="1:25" x14ac:dyDescent="0.3">
      <c r="A18" t="str">
        <f>IF(C18="","",_xlfn.CONCAT(LEFT(InventoryTable[[#This Row],[Category]],1),InventoryTable[[#This Row],[Product Pricing Type]],ROW()))</f>
        <v>PFM18</v>
      </c>
      <c r="B18" s="7">
        <v>46268</v>
      </c>
      <c r="C18" t="s">
        <v>32</v>
      </c>
      <c r="D18" t="s">
        <v>33</v>
      </c>
      <c r="E18" t="s">
        <v>34</v>
      </c>
      <c r="F18">
        <v>2</v>
      </c>
      <c r="G18">
        <v>6</v>
      </c>
      <c r="H18">
        <f t="shared" si="0"/>
        <v>12</v>
      </c>
      <c r="I18">
        <v>19.25</v>
      </c>
      <c r="J18">
        <v>0</v>
      </c>
      <c r="K18">
        <f t="shared" si="1"/>
        <v>231</v>
      </c>
      <c r="L18" s="2" t="s">
        <v>61</v>
      </c>
      <c r="M18" s="5">
        <v>0.05</v>
      </c>
      <c r="N18">
        <f t="shared" si="2"/>
        <v>20.212499999999999</v>
      </c>
      <c r="O18" s="3">
        <v>0.1</v>
      </c>
      <c r="P18">
        <f t="shared" si="3"/>
        <v>22.233749999999997</v>
      </c>
      <c r="Q18" s="4">
        <f t="shared" si="4"/>
        <v>23</v>
      </c>
      <c r="R18">
        <v>0</v>
      </c>
      <c r="S18">
        <f t="shared" si="8"/>
        <v>3.75</v>
      </c>
      <c r="T18">
        <f>IF(C18="","",InventoryTable[[#This Row],[Profit per Unit]]*InventoryTable[[#This Row],[Total Pieces]])</f>
        <v>45</v>
      </c>
      <c r="U18">
        <f t="shared" si="5"/>
        <v>0</v>
      </c>
      <c r="V18">
        <f>IF(C18="","",H18-InventoryTable[[#This Row],[Units Sold]])</f>
        <v>12</v>
      </c>
      <c r="W18">
        <f t="shared" si="6"/>
        <v>0</v>
      </c>
      <c r="X18">
        <f t="shared" si="7"/>
        <v>0</v>
      </c>
      <c r="Y18" t="str">
        <f>IF(C18="","",IF(InventoryTable[[#This Row],[Stock Balance]]&lt;=0,"Sold Out",IF((InventoryTable[[#This Row],[Stock Balance]]/InventoryTable[[#This Row],[Total Pieces]])&lt;=0.25,"Low on Stocks","Available")))</f>
        <v>Available</v>
      </c>
    </row>
    <row r="19" spans="1:25" x14ac:dyDescent="0.3">
      <c r="A19" t="str">
        <f>IF(C19="","",_xlfn.CONCAT(LEFT(InventoryTable[[#This Row],[Category]],1),InventoryTable[[#This Row],[Product Pricing Type]],ROW()))</f>
        <v>CNF19</v>
      </c>
      <c r="B19" s="7">
        <v>46268</v>
      </c>
      <c r="C19" t="s">
        <v>35</v>
      </c>
      <c r="D19" t="s">
        <v>36</v>
      </c>
      <c r="E19" t="s">
        <v>37</v>
      </c>
      <c r="F19">
        <v>1</v>
      </c>
      <c r="G19">
        <v>20</v>
      </c>
      <c r="H19">
        <f t="shared" si="0"/>
        <v>20</v>
      </c>
      <c r="I19">
        <v>77.5</v>
      </c>
      <c r="J19">
        <v>1</v>
      </c>
      <c r="K19">
        <f t="shared" si="1"/>
        <v>3.875</v>
      </c>
      <c r="L19" s="2" t="s">
        <v>62</v>
      </c>
      <c r="M19" s="5">
        <v>0.05</v>
      </c>
      <c r="N19">
        <f t="shared" si="2"/>
        <v>4.0687499999999996</v>
      </c>
      <c r="O19" s="3">
        <v>0.3</v>
      </c>
      <c r="P19">
        <f t="shared" si="3"/>
        <v>5.2893749999999997</v>
      </c>
      <c r="Q19" s="4">
        <f t="shared" si="4"/>
        <v>6</v>
      </c>
      <c r="R19">
        <v>0</v>
      </c>
      <c r="S19">
        <f t="shared" si="8"/>
        <v>2.125</v>
      </c>
      <c r="T19">
        <f>IF(C19="","",InventoryTable[[#This Row],[Profit per Unit]]*InventoryTable[[#This Row],[Total Pieces]])</f>
        <v>42.5</v>
      </c>
      <c r="U19">
        <f t="shared" si="5"/>
        <v>0</v>
      </c>
      <c r="V19">
        <f>IF(C19="","",H19-InventoryTable[[#This Row],[Units Sold]])</f>
        <v>20</v>
      </c>
      <c r="W19">
        <f t="shared" si="6"/>
        <v>0</v>
      </c>
      <c r="X19">
        <f t="shared" si="7"/>
        <v>0</v>
      </c>
      <c r="Y19" t="str">
        <f>IF(C19="","",IF(InventoryTable[[#This Row],[Stock Balance]]&lt;=0,"Sold Out",IF((InventoryTable[[#This Row],[Stock Balance]]/InventoryTable[[#This Row],[Total Pieces]])&lt;=0.25,"Low on Stocks","Available")))</f>
        <v>Available</v>
      </c>
    </row>
    <row r="20" spans="1:25" x14ac:dyDescent="0.3">
      <c r="A20" t="str">
        <f>IF(C20="","",_xlfn.CONCAT(LEFT(InventoryTable[[#This Row],[Category]],1),InventoryTable[[#This Row],[Product Pricing Type]],ROW()))</f>
        <v>BNF20</v>
      </c>
      <c r="B20" s="7">
        <v>46268</v>
      </c>
      <c r="C20" t="s">
        <v>40</v>
      </c>
      <c r="D20" t="s">
        <v>38</v>
      </c>
      <c r="E20" t="s">
        <v>39</v>
      </c>
      <c r="F20">
        <v>1</v>
      </c>
      <c r="G20">
        <v>3</v>
      </c>
      <c r="H20">
        <f t="shared" si="0"/>
        <v>3</v>
      </c>
      <c r="I20">
        <v>17.7</v>
      </c>
      <c r="J20">
        <v>0</v>
      </c>
      <c r="K20">
        <f t="shared" si="1"/>
        <v>53.099999999999994</v>
      </c>
      <c r="L20" s="2" t="s">
        <v>62</v>
      </c>
      <c r="M20" s="5">
        <v>0.05</v>
      </c>
      <c r="N20">
        <f t="shared" si="2"/>
        <v>18.585000000000001</v>
      </c>
      <c r="O20" s="3">
        <v>0.15</v>
      </c>
      <c r="P20">
        <f t="shared" si="3"/>
        <v>21.37275</v>
      </c>
      <c r="Q20" s="4">
        <f t="shared" si="4"/>
        <v>22</v>
      </c>
      <c r="R20">
        <v>0</v>
      </c>
      <c r="S20">
        <f t="shared" si="8"/>
        <v>4.3000000000000007</v>
      </c>
      <c r="T20">
        <f>IF(C20="","",InventoryTable[[#This Row],[Profit per Unit]]*InventoryTable[[#This Row],[Total Pieces]])</f>
        <v>12.900000000000002</v>
      </c>
      <c r="U20">
        <f t="shared" si="5"/>
        <v>0</v>
      </c>
      <c r="V20">
        <f>IF(C20="","",H20-InventoryTable[[#This Row],[Units Sold]])</f>
        <v>3</v>
      </c>
      <c r="W20">
        <f t="shared" si="6"/>
        <v>0</v>
      </c>
      <c r="X20">
        <f t="shared" si="7"/>
        <v>0</v>
      </c>
      <c r="Y20" t="str">
        <f>IF(C20="","",IF(InventoryTable[[#This Row],[Stock Balance]]&lt;=0,"Sold Out",IF((InventoryTable[[#This Row],[Stock Balance]]/InventoryTable[[#This Row],[Total Pieces]])&lt;=0.25,"Low on Stocks","Available")))</f>
        <v>Available</v>
      </c>
    </row>
    <row r="21" spans="1:25" x14ac:dyDescent="0.3">
      <c r="A21" t="str">
        <f>IF(C21="","",_xlfn.CONCAT(LEFT(InventoryTable[[#This Row],[Category]],1),InventoryTable[[#This Row],[Product Pricing Type]],ROW()))</f>
        <v>BNF21</v>
      </c>
      <c r="B21" s="7">
        <v>46268</v>
      </c>
      <c r="C21" t="s">
        <v>40</v>
      </c>
      <c r="D21" t="s">
        <v>38</v>
      </c>
      <c r="E21" t="s">
        <v>41</v>
      </c>
      <c r="F21">
        <v>1</v>
      </c>
      <c r="G21">
        <v>3</v>
      </c>
      <c r="H21">
        <f t="shared" si="0"/>
        <v>3</v>
      </c>
      <c r="I21">
        <v>28.9</v>
      </c>
      <c r="J21">
        <v>0</v>
      </c>
      <c r="K21">
        <f t="shared" si="1"/>
        <v>86.699999999999989</v>
      </c>
      <c r="L21" s="2" t="s">
        <v>62</v>
      </c>
      <c r="M21" s="5">
        <v>0.05</v>
      </c>
      <c r="N21">
        <f t="shared" si="2"/>
        <v>30.344999999999999</v>
      </c>
      <c r="O21" s="3">
        <v>0.05</v>
      </c>
      <c r="P21">
        <f t="shared" si="3"/>
        <v>31.86225</v>
      </c>
      <c r="Q21" s="4">
        <f t="shared" si="4"/>
        <v>32</v>
      </c>
      <c r="R21">
        <v>0</v>
      </c>
      <c r="S21">
        <f t="shared" si="8"/>
        <v>3.1000000000000014</v>
      </c>
      <c r="T21">
        <f>IF(C21="","",InventoryTable[[#This Row],[Profit per Unit]]*InventoryTable[[#This Row],[Total Pieces]])</f>
        <v>9.3000000000000043</v>
      </c>
      <c r="U21">
        <f t="shared" si="5"/>
        <v>0</v>
      </c>
      <c r="V21">
        <f>IF(C21="","",H21-InventoryTable[[#This Row],[Units Sold]])</f>
        <v>3</v>
      </c>
      <c r="W21">
        <f t="shared" si="6"/>
        <v>0</v>
      </c>
      <c r="X21">
        <f t="shared" si="7"/>
        <v>0</v>
      </c>
      <c r="Y21" t="str">
        <f>IF(C21="","",IF(InventoryTable[[#This Row],[Stock Balance]]&lt;=0,"Sold Out",IF((InventoryTable[[#This Row],[Stock Balance]]/InventoryTable[[#This Row],[Total Pieces]])&lt;=0.25,"Low on Stocks","Available")))</f>
        <v>Available</v>
      </c>
    </row>
    <row r="22" spans="1:25" x14ac:dyDescent="0.3">
      <c r="A22" t="str">
        <f>IF(C22="","",_xlfn.CONCAT(LEFT(InventoryTable[[#This Row],[Category]],1),InventoryTable[[#This Row],[Product Pricing Type]],ROW()))</f>
        <v>PFM22</v>
      </c>
      <c r="B22" s="7">
        <v>46268</v>
      </c>
      <c r="C22" t="s">
        <v>32</v>
      </c>
      <c r="D22" t="s">
        <v>18</v>
      </c>
      <c r="E22" t="s">
        <v>42</v>
      </c>
      <c r="F22">
        <v>1</v>
      </c>
      <c r="G22">
        <v>6</v>
      </c>
      <c r="H22">
        <f t="shared" si="0"/>
        <v>6</v>
      </c>
      <c r="I22">
        <v>6.85</v>
      </c>
      <c r="J22">
        <v>0</v>
      </c>
      <c r="K22">
        <f t="shared" si="1"/>
        <v>41.099999999999994</v>
      </c>
      <c r="L22" s="2" t="s">
        <v>61</v>
      </c>
      <c r="M22" s="5">
        <v>0.05</v>
      </c>
      <c r="N22">
        <f t="shared" si="2"/>
        <v>7.1924999999999999</v>
      </c>
      <c r="O22" s="3">
        <v>0.2</v>
      </c>
      <c r="P22">
        <f t="shared" si="3"/>
        <v>8.6310000000000002</v>
      </c>
      <c r="Q22" s="4">
        <f t="shared" si="4"/>
        <v>9</v>
      </c>
      <c r="R22">
        <v>0</v>
      </c>
      <c r="S22">
        <f t="shared" si="8"/>
        <v>2.1500000000000004</v>
      </c>
      <c r="T22">
        <f>IF(C22="","",InventoryTable[[#This Row],[Profit per Unit]]*InventoryTable[[#This Row],[Total Pieces]])</f>
        <v>12.900000000000002</v>
      </c>
      <c r="U22">
        <f t="shared" si="5"/>
        <v>0</v>
      </c>
      <c r="V22">
        <f>IF(C22="","",H22-InventoryTable[[#This Row],[Units Sold]])</f>
        <v>6</v>
      </c>
      <c r="W22">
        <f t="shared" si="6"/>
        <v>0</v>
      </c>
      <c r="X22">
        <f t="shared" si="7"/>
        <v>0</v>
      </c>
      <c r="Y22" t="str">
        <f>IF(C22="","",IF(InventoryTable[[#This Row],[Stock Balance]]&lt;=0,"Sold Out",IF((InventoryTable[[#This Row],[Stock Balance]]/InventoryTable[[#This Row],[Total Pieces]])&lt;=0.25,"Low on Stocks","Available")))</f>
        <v>Available</v>
      </c>
    </row>
    <row r="23" spans="1:25" x14ac:dyDescent="0.3">
      <c r="A23" t="str">
        <f>IF(C23="","",_xlfn.CONCAT(LEFT(InventoryTable[[#This Row],[Category]],1),InventoryTable[[#This Row],[Product Pricing Type]],ROW()))</f>
        <v>PFM23</v>
      </c>
      <c r="B23" s="7">
        <v>46268</v>
      </c>
      <c r="C23" t="s">
        <v>32</v>
      </c>
      <c r="D23" t="s">
        <v>18</v>
      </c>
      <c r="E23" t="s">
        <v>43</v>
      </c>
      <c r="F23">
        <v>1</v>
      </c>
      <c r="G23">
        <v>6</v>
      </c>
      <c r="H23">
        <f t="shared" si="0"/>
        <v>6</v>
      </c>
      <c r="I23">
        <v>6.4</v>
      </c>
      <c r="J23">
        <v>0</v>
      </c>
      <c r="K23">
        <f t="shared" si="1"/>
        <v>38.400000000000006</v>
      </c>
      <c r="L23" s="2" t="s">
        <v>61</v>
      </c>
      <c r="M23" s="5">
        <v>0.05</v>
      </c>
      <c r="N23">
        <f t="shared" si="2"/>
        <v>6.7200000000000006</v>
      </c>
      <c r="O23" s="3">
        <v>0.2</v>
      </c>
      <c r="P23">
        <f t="shared" si="3"/>
        <v>8.0640000000000001</v>
      </c>
      <c r="Q23" s="4">
        <f t="shared" si="4"/>
        <v>9</v>
      </c>
      <c r="R23">
        <v>0</v>
      </c>
      <c r="S23">
        <f t="shared" si="8"/>
        <v>2.5999999999999996</v>
      </c>
      <c r="T23">
        <f>IF(C23="","",InventoryTable[[#This Row],[Profit per Unit]]*InventoryTable[[#This Row],[Total Pieces]])</f>
        <v>15.599999999999998</v>
      </c>
      <c r="U23">
        <f t="shared" si="5"/>
        <v>0</v>
      </c>
      <c r="V23">
        <f>IF(C23="","",H23-InventoryTable[[#This Row],[Units Sold]])</f>
        <v>6</v>
      </c>
      <c r="W23">
        <f t="shared" si="6"/>
        <v>0</v>
      </c>
      <c r="X23">
        <f t="shared" si="7"/>
        <v>0</v>
      </c>
      <c r="Y23" t="str">
        <f>IF(C23="","",IF(InventoryTable[[#This Row],[Stock Balance]]&lt;=0,"Sold Out",IF((InventoryTable[[#This Row],[Stock Balance]]/InventoryTable[[#This Row],[Total Pieces]])&lt;=0.25,"Low on Stocks","Available")))</f>
        <v>Available</v>
      </c>
    </row>
    <row r="24" spans="1:25" x14ac:dyDescent="0.3">
      <c r="A24" t="str">
        <f>IF(C24="","",_xlfn.CONCAT(LEFT(InventoryTable[[#This Row],[Category]],1),InventoryTable[[#This Row],[Product Pricing Type]],ROW()))</f>
        <v>PFM24</v>
      </c>
      <c r="B24" s="7">
        <v>46268</v>
      </c>
      <c r="C24" t="s">
        <v>32</v>
      </c>
      <c r="D24" t="s">
        <v>44</v>
      </c>
      <c r="E24" t="s">
        <v>45</v>
      </c>
      <c r="F24">
        <v>1</v>
      </c>
      <c r="G24">
        <v>6</v>
      </c>
      <c r="H24">
        <f t="shared" si="0"/>
        <v>6</v>
      </c>
      <c r="I24">
        <v>13.05</v>
      </c>
      <c r="J24">
        <v>0</v>
      </c>
      <c r="K24">
        <f t="shared" si="1"/>
        <v>78.300000000000011</v>
      </c>
      <c r="L24" s="2" t="s">
        <v>61</v>
      </c>
      <c r="M24" s="5">
        <v>0.05</v>
      </c>
      <c r="N24">
        <f t="shared" si="2"/>
        <v>13.702500000000001</v>
      </c>
      <c r="O24" s="3">
        <v>0.1</v>
      </c>
      <c r="P24">
        <f t="shared" si="3"/>
        <v>15.072750000000001</v>
      </c>
      <c r="Q24" s="4">
        <f t="shared" si="4"/>
        <v>16</v>
      </c>
      <c r="R24">
        <v>0</v>
      </c>
      <c r="S24">
        <f t="shared" si="8"/>
        <v>2.9499999999999993</v>
      </c>
      <c r="T24">
        <f>IF(C24="","",InventoryTable[[#This Row],[Profit per Unit]]*InventoryTable[[#This Row],[Total Pieces]])</f>
        <v>17.699999999999996</v>
      </c>
      <c r="U24">
        <f t="shared" si="5"/>
        <v>0</v>
      </c>
      <c r="V24">
        <f>IF(C24="","",H24-InventoryTable[[#This Row],[Units Sold]])</f>
        <v>6</v>
      </c>
      <c r="W24">
        <f t="shared" si="6"/>
        <v>0</v>
      </c>
      <c r="X24">
        <f t="shared" si="7"/>
        <v>0</v>
      </c>
      <c r="Y24" t="str">
        <f>IF(C24="","",IF(InventoryTable[[#This Row],[Stock Balance]]&lt;=0,"Sold Out",IF((InventoryTable[[#This Row],[Stock Balance]]/InventoryTable[[#This Row],[Total Pieces]])&lt;=0.25,"Low on Stocks","Available")))</f>
        <v>Available</v>
      </c>
    </row>
    <row r="25" spans="1:25" x14ac:dyDescent="0.3">
      <c r="A25" t="str">
        <f>IF(C25="","",_xlfn.CONCAT(LEFT(InventoryTable[[#This Row],[Category]],1),InventoryTable[[#This Row],[Product Pricing Type]],ROW()))</f>
        <v>SNF25</v>
      </c>
      <c r="B25" s="7">
        <v>46268</v>
      </c>
      <c r="C25" t="s">
        <v>46</v>
      </c>
      <c r="D25" t="s">
        <v>47</v>
      </c>
      <c r="E25" t="s">
        <v>48</v>
      </c>
      <c r="F25">
        <v>2</v>
      </c>
      <c r="G25">
        <v>6</v>
      </c>
      <c r="H25">
        <f t="shared" si="0"/>
        <v>12</v>
      </c>
      <c r="I25">
        <v>18.25</v>
      </c>
      <c r="J25">
        <v>0</v>
      </c>
      <c r="K25">
        <f t="shared" si="1"/>
        <v>219</v>
      </c>
      <c r="L25" s="2" t="s">
        <v>62</v>
      </c>
      <c r="M25" s="5">
        <v>0.05</v>
      </c>
      <c r="N25">
        <f t="shared" si="2"/>
        <v>19.162500000000001</v>
      </c>
      <c r="O25" s="3">
        <v>0.09</v>
      </c>
      <c r="P25">
        <f t="shared" si="3"/>
        <v>20.887125000000001</v>
      </c>
      <c r="Q25" s="4">
        <f t="shared" si="4"/>
        <v>21</v>
      </c>
      <c r="R25">
        <v>0</v>
      </c>
      <c r="S25">
        <f t="shared" si="8"/>
        <v>2.75</v>
      </c>
      <c r="T25">
        <f>IF(C25="","",InventoryTable[[#This Row],[Profit per Unit]]*InventoryTable[[#This Row],[Total Pieces]])</f>
        <v>33</v>
      </c>
      <c r="U25">
        <f t="shared" si="5"/>
        <v>0</v>
      </c>
      <c r="V25">
        <f>IF(C25="","",H25-InventoryTable[[#This Row],[Units Sold]])</f>
        <v>12</v>
      </c>
      <c r="W25">
        <f t="shared" si="6"/>
        <v>0</v>
      </c>
      <c r="X25">
        <f t="shared" si="7"/>
        <v>0</v>
      </c>
      <c r="Y25" t="str">
        <f>IF(C25="","",IF(InventoryTable[[#This Row],[Stock Balance]]&lt;=0,"Sold Out",IF((InventoryTable[[#This Row],[Stock Balance]]/InventoryTable[[#This Row],[Total Pieces]])&lt;=0.25,"Low on Stocks","Available")))</f>
        <v>Available</v>
      </c>
    </row>
    <row r="26" spans="1:25" x14ac:dyDescent="0.3">
      <c r="A26" t="str">
        <f>IF(C26="","",_xlfn.CONCAT(LEFT(InventoryTable[[#This Row],[Category]],1),InventoryTable[[#This Row],[Product Pricing Type]],ROW()))</f>
        <v>SNF26</v>
      </c>
      <c r="B26" s="7">
        <v>46268</v>
      </c>
      <c r="C26" t="s">
        <v>46</v>
      </c>
      <c r="D26" t="s">
        <v>49</v>
      </c>
      <c r="E26" t="s">
        <v>50</v>
      </c>
      <c r="F26">
        <v>1</v>
      </c>
      <c r="G26">
        <v>6</v>
      </c>
      <c r="H26">
        <f t="shared" si="0"/>
        <v>6</v>
      </c>
      <c r="I26">
        <v>20.3</v>
      </c>
      <c r="J26">
        <v>0</v>
      </c>
      <c r="K26">
        <f t="shared" si="1"/>
        <v>121.80000000000001</v>
      </c>
      <c r="L26" s="2" t="s">
        <v>62</v>
      </c>
      <c r="M26" s="5">
        <v>0.05</v>
      </c>
      <c r="N26">
        <f t="shared" si="2"/>
        <v>21.315000000000001</v>
      </c>
      <c r="O26" s="3">
        <v>0.17</v>
      </c>
      <c r="P26">
        <f t="shared" si="3"/>
        <v>24.938550000000003</v>
      </c>
      <c r="Q26" s="4">
        <f t="shared" si="4"/>
        <v>25</v>
      </c>
      <c r="R26">
        <v>0</v>
      </c>
      <c r="S26">
        <f t="shared" si="8"/>
        <v>4.6999999999999993</v>
      </c>
      <c r="T26">
        <f>IF(C26="","",InventoryTable[[#This Row],[Profit per Unit]]*InventoryTable[[#This Row],[Total Pieces]])</f>
        <v>28.199999999999996</v>
      </c>
      <c r="U26">
        <f t="shared" si="5"/>
        <v>0</v>
      </c>
      <c r="V26">
        <f>IF(C26="","",H26-InventoryTable[[#This Row],[Units Sold]])</f>
        <v>6</v>
      </c>
      <c r="W26">
        <f t="shared" si="6"/>
        <v>0</v>
      </c>
      <c r="X26">
        <f t="shared" si="7"/>
        <v>0</v>
      </c>
      <c r="Y26" t="str">
        <f>IF(C26="","",IF(InventoryTable[[#This Row],[Stock Balance]]&lt;=0,"Sold Out",IF((InventoryTable[[#This Row],[Stock Balance]]/InventoryTable[[#This Row],[Total Pieces]])&lt;=0.25,"Low on Stocks","Available")))</f>
        <v>Available</v>
      </c>
    </row>
    <row r="27" spans="1:25" x14ac:dyDescent="0.3">
      <c r="A27" t="str">
        <f>IF(C27="","",_xlfn.CONCAT(LEFT(InventoryTable[[#This Row],[Category]],1),InventoryTable[[#This Row],[Product Pricing Type]],ROW()))</f>
        <v>CFM27</v>
      </c>
      <c r="B27" s="7">
        <v>46268</v>
      </c>
      <c r="C27" t="s">
        <v>21</v>
      </c>
      <c r="D27" t="s">
        <v>51</v>
      </c>
      <c r="E27" t="s">
        <v>52</v>
      </c>
      <c r="F27">
        <v>1</v>
      </c>
      <c r="G27">
        <v>11</v>
      </c>
      <c r="H27">
        <f t="shared" si="0"/>
        <v>11</v>
      </c>
      <c r="I27">
        <v>7.25</v>
      </c>
      <c r="J27">
        <v>0</v>
      </c>
      <c r="K27">
        <f t="shared" si="1"/>
        <v>79.75</v>
      </c>
      <c r="L27" s="2" t="s">
        <v>61</v>
      </c>
      <c r="M27" s="5">
        <v>0.05</v>
      </c>
      <c r="N27">
        <f t="shared" si="2"/>
        <v>7.6124999999999998</v>
      </c>
      <c r="O27" s="3">
        <v>0.2</v>
      </c>
      <c r="P27">
        <f t="shared" si="3"/>
        <v>9.1349999999999998</v>
      </c>
      <c r="Q27" s="4">
        <f t="shared" si="4"/>
        <v>10</v>
      </c>
      <c r="R27">
        <v>0</v>
      </c>
      <c r="S27">
        <f t="shared" si="8"/>
        <v>2.75</v>
      </c>
      <c r="T27">
        <f>IF(C27="","",InventoryTable[[#This Row],[Profit per Unit]]*InventoryTable[[#This Row],[Total Pieces]])</f>
        <v>30.25</v>
      </c>
      <c r="U27">
        <f t="shared" si="5"/>
        <v>0</v>
      </c>
      <c r="V27">
        <f>IF(C27="","",H27-InventoryTable[[#This Row],[Units Sold]])</f>
        <v>11</v>
      </c>
      <c r="W27">
        <f t="shared" si="6"/>
        <v>0</v>
      </c>
      <c r="X27">
        <f t="shared" si="7"/>
        <v>0</v>
      </c>
      <c r="Y27" t="str">
        <f>IF(C27="","",IF(InventoryTable[[#This Row],[Stock Balance]]&lt;=0,"Sold Out",IF((InventoryTable[[#This Row],[Stock Balance]]/InventoryTable[[#This Row],[Total Pieces]])&lt;=0.25,"Low on Stocks","Available")))</f>
        <v>Available</v>
      </c>
    </row>
    <row r="28" spans="1:25" x14ac:dyDescent="0.3">
      <c r="A28" t="str">
        <f>IF(C28="","",_xlfn.CONCAT(LEFT(InventoryTable[[#This Row],[Category]],1),InventoryTable[[#This Row],[Product Pricing Type]],ROW()))</f>
        <v>FFM28</v>
      </c>
      <c r="B28" s="7">
        <v>46268</v>
      </c>
      <c r="C28" t="s">
        <v>17</v>
      </c>
      <c r="D28" t="s">
        <v>53</v>
      </c>
      <c r="E28" t="s">
        <v>54</v>
      </c>
      <c r="F28">
        <v>1</v>
      </c>
      <c r="G28">
        <v>12</v>
      </c>
      <c r="H28">
        <f t="shared" si="0"/>
        <v>12</v>
      </c>
      <c r="I28">
        <v>5.85</v>
      </c>
      <c r="J28">
        <v>0</v>
      </c>
      <c r="K28">
        <f t="shared" si="1"/>
        <v>70.199999999999989</v>
      </c>
      <c r="L28" s="2" t="s">
        <v>61</v>
      </c>
      <c r="M28" s="5">
        <v>0.05</v>
      </c>
      <c r="N28">
        <f t="shared" si="2"/>
        <v>6.1425000000000001</v>
      </c>
      <c r="O28" s="3">
        <v>0.2</v>
      </c>
      <c r="P28">
        <f t="shared" si="3"/>
        <v>7.3710000000000004</v>
      </c>
      <c r="Q28" s="4">
        <f t="shared" si="4"/>
        <v>8</v>
      </c>
      <c r="R28">
        <v>0</v>
      </c>
      <c r="S28">
        <f t="shared" si="8"/>
        <v>2.1500000000000004</v>
      </c>
      <c r="T28">
        <f>IF(C28="","",InventoryTable[[#This Row],[Profit per Unit]]*InventoryTable[[#This Row],[Total Pieces]])</f>
        <v>25.800000000000004</v>
      </c>
      <c r="U28">
        <f t="shared" si="5"/>
        <v>0</v>
      </c>
      <c r="V28">
        <f>IF(C28="","",H28-InventoryTable[[#This Row],[Units Sold]])</f>
        <v>12</v>
      </c>
      <c r="W28">
        <f t="shared" si="6"/>
        <v>0</v>
      </c>
      <c r="X28">
        <f t="shared" si="7"/>
        <v>0</v>
      </c>
      <c r="Y28" t="str">
        <f>IF(C28="","",IF(InventoryTable[[#This Row],[Stock Balance]]&lt;=0,"Sold Out",IF((InventoryTable[[#This Row],[Stock Balance]]/InventoryTable[[#This Row],[Total Pieces]])&lt;=0.25,"Low on Stocks","Available")))</f>
        <v>Available</v>
      </c>
    </row>
    <row r="29" spans="1:25" x14ac:dyDescent="0.3">
      <c r="A29" t="str">
        <f>IF(C29="","",_xlfn.CONCAT(LEFT(InventoryTable[[#This Row],[Category]],1),InventoryTable[[#This Row],[Product Pricing Type]],ROW()))</f>
        <v>SFM29</v>
      </c>
      <c r="B29" s="7">
        <v>46268</v>
      </c>
      <c r="C29" t="s">
        <v>15</v>
      </c>
      <c r="D29" t="s">
        <v>51</v>
      </c>
      <c r="E29" t="s">
        <v>55</v>
      </c>
      <c r="F29">
        <v>1</v>
      </c>
      <c r="G29">
        <v>11</v>
      </c>
      <c r="H29">
        <f t="shared" si="0"/>
        <v>11</v>
      </c>
      <c r="I29">
        <v>6.55</v>
      </c>
      <c r="J29">
        <v>0</v>
      </c>
      <c r="K29">
        <f t="shared" si="1"/>
        <v>72.05</v>
      </c>
      <c r="L29" s="2" t="s">
        <v>61</v>
      </c>
      <c r="M29" s="5">
        <v>0.05</v>
      </c>
      <c r="N29">
        <f t="shared" si="2"/>
        <v>6.8774999999999995</v>
      </c>
      <c r="O29" s="3">
        <v>0.1</v>
      </c>
      <c r="P29">
        <f t="shared" si="3"/>
        <v>7.5652499999999998</v>
      </c>
      <c r="Q29" s="4">
        <f t="shared" si="4"/>
        <v>8</v>
      </c>
      <c r="R29">
        <v>0</v>
      </c>
      <c r="S29">
        <f t="shared" si="8"/>
        <v>1.4500000000000002</v>
      </c>
      <c r="T29">
        <f>IF(C29="","",InventoryTable[[#This Row],[Profit per Unit]]*InventoryTable[[#This Row],[Total Pieces]])</f>
        <v>15.950000000000003</v>
      </c>
      <c r="U29">
        <f t="shared" si="5"/>
        <v>0</v>
      </c>
      <c r="V29">
        <f>IF(C29="","",H29-InventoryTable[[#This Row],[Units Sold]])</f>
        <v>11</v>
      </c>
      <c r="W29">
        <f t="shared" si="6"/>
        <v>0</v>
      </c>
      <c r="X29">
        <f t="shared" si="7"/>
        <v>0</v>
      </c>
      <c r="Y29" t="str">
        <f>IF(C29="","",IF(InventoryTable[[#This Row],[Stock Balance]]&lt;=0,"Sold Out",IF((InventoryTable[[#This Row],[Stock Balance]]/InventoryTable[[#This Row],[Total Pieces]])&lt;=0.25,"Low on Stocks","Available")))</f>
        <v>Available</v>
      </c>
    </row>
    <row r="30" spans="1:25" x14ac:dyDescent="0.3">
      <c r="A30" t="str">
        <f>IF(C30="","",_xlfn.CONCAT(LEFT(InventoryTable[[#This Row],[Category]],1),InventoryTable[[#This Row],[Product Pricing Type]],ROW()))</f>
        <v>SFM30</v>
      </c>
      <c r="B30" s="7">
        <v>46268</v>
      </c>
      <c r="C30" t="s">
        <v>15</v>
      </c>
      <c r="D30" t="s">
        <v>51</v>
      </c>
      <c r="E30" t="s">
        <v>56</v>
      </c>
      <c r="F30">
        <v>1</v>
      </c>
      <c r="G30">
        <v>11</v>
      </c>
      <c r="H30">
        <f t="shared" si="0"/>
        <v>11</v>
      </c>
      <c r="I30">
        <v>6.55</v>
      </c>
      <c r="J30">
        <v>0</v>
      </c>
      <c r="K30">
        <f t="shared" si="1"/>
        <v>72.05</v>
      </c>
      <c r="L30" s="2" t="s">
        <v>61</v>
      </c>
      <c r="M30" s="5">
        <v>0.05</v>
      </c>
      <c r="N30">
        <f t="shared" si="2"/>
        <v>6.8774999999999995</v>
      </c>
      <c r="O30" s="3">
        <v>0.1</v>
      </c>
      <c r="P30">
        <f t="shared" si="3"/>
        <v>7.5652499999999998</v>
      </c>
      <c r="Q30" s="4">
        <f t="shared" si="4"/>
        <v>8</v>
      </c>
      <c r="R30">
        <v>0</v>
      </c>
      <c r="S30">
        <f t="shared" si="8"/>
        <v>1.4500000000000002</v>
      </c>
      <c r="T30">
        <f>IF(C30="","",InventoryTable[[#This Row],[Profit per Unit]]*InventoryTable[[#This Row],[Total Pieces]])</f>
        <v>15.950000000000003</v>
      </c>
      <c r="U30">
        <f t="shared" si="5"/>
        <v>0</v>
      </c>
      <c r="V30">
        <f>IF(C30="","",H30-InventoryTable[[#This Row],[Units Sold]])</f>
        <v>11</v>
      </c>
      <c r="W30">
        <f t="shared" si="6"/>
        <v>0</v>
      </c>
      <c r="X30">
        <f t="shared" si="7"/>
        <v>0</v>
      </c>
      <c r="Y30" t="str">
        <f>IF(C30="","",IF(InventoryTable[[#This Row],[Stock Balance]]&lt;=0,"Sold Out",IF((InventoryTable[[#This Row],[Stock Balance]]/InventoryTable[[#This Row],[Total Pieces]])&lt;=0.25,"Low on Stocks","Available")))</f>
        <v>Available</v>
      </c>
    </row>
    <row r="31" spans="1:25" x14ac:dyDescent="0.3">
      <c r="A31" t="str">
        <f>IF(C31="","",_xlfn.CONCAT(LEFT(InventoryTable[[#This Row],[Category]],1),InventoryTable[[#This Row],[Product Pricing Type]],ROW()))</f>
        <v>SFM31</v>
      </c>
      <c r="B31" s="7">
        <v>46268</v>
      </c>
      <c r="C31" t="s">
        <v>15</v>
      </c>
      <c r="D31" t="s">
        <v>16</v>
      </c>
      <c r="E31" t="s">
        <v>45</v>
      </c>
      <c r="F31">
        <v>1</v>
      </c>
      <c r="G31">
        <v>11</v>
      </c>
      <c r="H31">
        <f t="shared" si="0"/>
        <v>11</v>
      </c>
      <c r="I31">
        <v>5.85</v>
      </c>
      <c r="J31">
        <v>0</v>
      </c>
      <c r="K31">
        <f t="shared" si="1"/>
        <v>64.349999999999994</v>
      </c>
      <c r="L31" s="2" t="s">
        <v>61</v>
      </c>
      <c r="M31" s="5">
        <v>0.05</v>
      </c>
      <c r="N31">
        <f t="shared" si="2"/>
        <v>6.1425000000000001</v>
      </c>
      <c r="O31" s="3">
        <v>0.2</v>
      </c>
      <c r="P31">
        <f t="shared" si="3"/>
        <v>7.3710000000000004</v>
      </c>
      <c r="Q31" s="4">
        <f t="shared" si="4"/>
        <v>8</v>
      </c>
      <c r="R31">
        <v>0</v>
      </c>
      <c r="S31">
        <f t="shared" si="8"/>
        <v>2.1500000000000004</v>
      </c>
      <c r="T31">
        <f>IF(C31="","",InventoryTable[[#This Row],[Profit per Unit]]*InventoryTable[[#This Row],[Total Pieces]])</f>
        <v>23.650000000000006</v>
      </c>
      <c r="U31">
        <f t="shared" si="5"/>
        <v>0</v>
      </c>
      <c r="V31">
        <f>IF(C31="","",H31-InventoryTable[[#This Row],[Units Sold]])</f>
        <v>11</v>
      </c>
      <c r="W31">
        <f t="shared" si="6"/>
        <v>0</v>
      </c>
      <c r="X31">
        <f t="shared" si="7"/>
        <v>0</v>
      </c>
      <c r="Y31" t="str">
        <f>IF(C31="","",IF(InventoryTable[[#This Row],[Stock Balance]]&lt;=0,"Sold Out",IF((InventoryTable[[#This Row],[Stock Balance]]/InventoryTable[[#This Row],[Total Pieces]])&lt;=0.25,"Low on Stocks","Available")))</f>
        <v>Available</v>
      </c>
    </row>
    <row r="32" spans="1:25" x14ac:dyDescent="0.3">
      <c r="A32" t="str">
        <f>IF(C32="","",_xlfn.CONCAT(LEFT(InventoryTable[[#This Row],[Category]],1),InventoryTable[[#This Row],[Product Pricing Type]],ROW()))</f>
        <v>SFM32</v>
      </c>
      <c r="B32" s="7">
        <v>46268</v>
      </c>
      <c r="C32" t="s">
        <v>15</v>
      </c>
      <c r="D32" t="s">
        <v>57</v>
      </c>
      <c r="E32" t="s">
        <v>58</v>
      </c>
      <c r="F32">
        <v>1</v>
      </c>
      <c r="G32">
        <v>12</v>
      </c>
      <c r="H32">
        <f t="shared" si="0"/>
        <v>12</v>
      </c>
      <c r="I32">
        <v>62.7</v>
      </c>
      <c r="J32">
        <v>1</v>
      </c>
      <c r="K32">
        <f t="shared" si="1"/>
        <v>5.2250000000000005</v>
      </c>
      <c r="L32" s="2" t="s">
        <v>61</v>
      </c>
      <c r="M32" s="5">
        <v>0.05</v>
      </c>
      <c r="N32">
        <f t="shared" si="2"/>
        <v>5.486250000000001</v>
      </c>
      <c r="O32" s="3">
        <v>0.6</v>
      </c>
      <c r="P32">
        <f t="shared" si="3"/>
        <v>8.7780000000000022</v>
      </c>
      <c r="Q32" s="4">
        <f t="shared" si="4"/>
        <v>9</v>
      </c>
      <c r="R32">
        <v>0</v>
      </c>
      <c r="S32">
        <f t="shared" si="8"/>
        <v>3.7749999999999995</v>
      </c>
      <c r="T32">
        <f>IF(C32="","",InventoryTable[[#This Row],[Profit per Unit]]*InventoryTable[[#This Row],[Total Pieces]])</f>
        <v>45.3</v>
      </c>
      <c r="U32">
        <f t="shared" si="5"/>
        <v>0</v>
      </c>
      <c r="V32">
        <f>IF(C32="","",H32-InventoryTable[[#This Row],[Units Sold]])</f>
        <v>12</v>
      </c>
      <c r="W32">
        <f t="shared" si="6"/>
        <v>0</v>
      </c>
      <c r="X32">
        <f t="shared" si="7"/>
        <v>0</v>
      </c>
      <c r="Y32" t="str">
        <f>IF(C32="","",IF(InventoryTable[[#This Row],[Stock Balance]]&lt;=0,"Sold Out",IF((InventoryTable[[#This Row],[Stock Balance]]/InventoryTable[[#This Row],[Total Pieces]])&lt;=0.25,"Low on Stocks","Available")))</f>
        <v>Available</v>
      </c>
    </row>
    <row r="33" spans="1:25" x14ac:dyDescent="0.3">
      <c r="A33" t="str">
        <f>IF(C33="","",_xlfn.CONCAT(LEFT(InventoryTable[[#This Row],[Category]],1),InventoryTable[[#This Row],[Product Pricing Type]],ROW()))</f>
        <v>BNF33</v>
      </c>
      <c r="B33" s="7">
        <v>46268</v>
      </c>
      <c r="C33" t="s">
        <v>59</v>
      </c>
      <c r="D33" t="s">
        <v>18</v>
      </c>
      <c r="E33" t="s">
        <v>19</v>
      </c>
      <c r="F33">
        <v>1</v>
      </c>
      <c r="G33">
        <v>3</v>
      </c>
      <c r="H33">
        <f t="shared" si="0"/>
        <v>3</v>
      </c>
      <c r="I33">
        <v>12.5</v>
      </c>
      <c r="J33">
        <v>0</v>
      </c>
      <c r="K33">
        <f t="shared" si="1"/>
        <v>37.5</v>
      </c>
      <c r="L33" s="2" t="s">
        <v>62</v>
      </c>
      <c r="M33" s="5">
        <v>0.05</v>
      </c>
      <c r="N33">
        <f t="shared" si="2"/>
        <v>13.125</v>
      </c>
      <c r="O33" s="3">
        <v>0.2</v>
      </c>
      <c r="P33">
        <f t="shared" si="3"/>
        <v>15.75</v>
      </c>
      <c r="Q33" s="4">
        <f t="shared" si="4"/>
        <v>16</v>
      </c>
      <c r="R33">
        <v>0</v>
      </c>
      <c r="S33">
        <f t="shared" si="8"/>
        <v>3.5</v>
      </c>
      <c r="T33">
        <f>IF(C33="","",InventoryTable[[#This Row],[Profit per Unit]]*InventoryTable[[#This Row],[Total Pieces]])</f>
        <v>10.5</v>
      </c>
      <c r="U33">
        <f t="shared" si="5"/>
        <v>0</v>
      </c>
      <c r="V33">
        <f>IF(C33="","",H33-InventoryTable[[#This Row],[Units Sold]])</f>
        <v>3</v>
      </c>
      <c r="W33">
        <f t="shared" si="6"/>
        <v>0</v>
      </c>
      <c r="X33">
        <f t="shared" si="7"/>
        <v>0</v>
      </c>
      <c r="Y33" t="str">
        <f>IF(C33="","",IF(InventoryTable[[#This Row],[Stock Balance]]&lt;=0,"Sold Out",IF((InventoryTable[[#This Row],[Stock Balance]]/InventoryTable[[#This Row],[Total Pieces]])&lt;=0.25,"Low on Stocks","Available")))</f>
        <v>Available</v>
      </c>
    </row>
    <row r="34" spans="1:25" x14ac:dyDescent="0.3">
      <c r="A34" t="str">
        <f>IF(C34="","",_xlfn.CONCAT(LEFT(InventoryTable[[#This Row],[Category]],1),InventoryTable[[#This Row],[Product Pricing Type]],ROW()))</f>
        <v>BNF34</v>
      </c>
      <c r="B34" s="7">
        <v>46268</v>
      </c>
      <c r="C34" t="s">
        <v>59</v>
      </c>
      <c r="D34" t="s">
        <v>18</v>
      </c>
      <c r="E34" t="s">
        <v>60</v>
      </c>
      <c r="F34">
        <v>1</v>
      </c>
      <c r="G34">
        <v>2</v>
      </c>
      <c r="H34">
        <f t="shared" si="0"/>
        <v>2</v>
      </c>
      <c r="I34">
        <v>11.75</v>
      </c>
      <c r="J34">
        <v>0</v>
      </c>
      <c r="K34">
        <f t="shared" si="1"/>
        <v>23.5</v>
      </c>
      <c r="L34" s="2" t="s">
        <v>62</v>
      </c>
      <c r="M34" s="5">
        <v>0.05</v>
      </c>
      <c r="N34">
        <f t="shared" si="2"/>
        <v>12.3375</v>
      </c>
      <c r="O34" s="3">
        <v>0.2</v>
      </c>
      <c r="P34">
        <f t="shared" si="3"/>
        <v>14.805</v>
      </c>
      <c r="Q34" s="4">
        <f t="shared" si="4"/>
        <v>15</v>
      </c>
      <c r="R34">
        <v>0</v>
      </c>
      <c r="S34">
        <f t="shared" si="8"/>
        <v>3.25</v>
      </c>
      <c r="T34">
        <f>IF(C34="","",InventoryTable[[#This Row],[Profit per Unit]]*InventoryTable[[#This Row],[Total Pieces]])</f>
        <v>6.5</v>
      </c>
      <c r="U34">
        <f t="shared" si="5"/>
        <v>0</v>
      </c>
      <c r="V34">
        <f>IF(C34="","",H34-InventoryTable[[#This Row],[Units Sold]])</f>
        <v>2</v>
      </c>
      <c r="W34">
        <f t="shared" si="6"/>
        <v>0</v>
      </c>
      <c r="X34">
        <f t="shared" si="7"/>
        <v>0</v>
      </c>
      <c r="Y34" t="str">
        <f>IF(C34="","",IF(InventoryTable[[#This Row],[Stock Balance]]&lt;=0,"Sold Out",IF((InventoryTable[[#This Row],[Stock Balance]]/InventoryTable[[#This Row],[Total Pieces]])&lt;=0.25,"Low on Stocks","Available")))</f>
        <v>Available</v>
      </c>
    </row>
    <row r="35" spans="1:25" x14ac:dyDescent="0.3">
      <c r="A35" t="str">
        <f>IF(C35="","",_xlfn.CONCAT(LEFT(InventoryTable[[#This Row],[Category]],1),InventoryTable[[#This Row],[Product Pricing Type]],ROW()))</f>
        <v>SFM35</v>
      </c>
      <c r="B35" s="7">
        <v>46268</v>
      </c>
      <c r="C35" t="s">
        <v>69</v>
      </c>
      <c r="D35" t="s">
        <v>70</v>
      </c>
      <c r="E35" t="s">
        <v>71</v>
      </c>
      <c r="F35">
        <v>1</v>
      </c>
      <c r="G35">
        <v>3</v>
      </c>
      <c r="H35">
        <f t="shared" si="0"/>
        <v>3</v>
      </c>
      <c r="I35">
        <v>10.8</v>
      </c>
      <c r="J35">
        <v>0</v>
      </c>
      <c r="K35">
        <f t="shared" si="1"/>
        <v>32.400000000000006</v>
      </c>
      <c r="L35" s="2" t="s">
        <v>61</v>
      </c>
      <c r="M35" s="5">
        <v>0.05</v>
      </c>
      <c r="N35">
        <f t="shared" si="2"/>
        <v>11.34</v>
      </c>
      <c r="O35" s="3">
        <v>0.1</v>
      </c>
      <c r="P35">
        <f t="shared" si="3"/>
        <v>12.474</v>
      </c>
      <c r="Q35" s="4">
        <f t="shared" si="4"/>
        <v>13</v>
      </c>
      <c r="R35">
        <v>0</v>
      </c>
      <c r="S35">
        <f t="shared" si="8"/>
        <v>2.1999999999999993</v>
      </c>
      <c r="T35">
        <f>IF(C35="","",InventoryTable[[#This Row],[Profit per Unit]]*InventoryTable[[#This Row],[Total Pieces]])</f>
        <v>6.5999999999999979</v>
      </c>
      <c r="U35">
        <f t="shared" si="5"/>
        <v>0</v>
      </c>
      <c r="V35">
        <f>IF(C35="","",H35-InventoryTable[[#This Row],[Units Sold]])</f>
        <v>3</v>
      </c>
      <c r="W35">
        <f t="shared" si="6"/>
        <v>0</v>
      </c>
      <c r="X35">
        <f t="shared" si="7"/>
        <v>0</v>
      </c>
      <c r="Y35" t="str">
        <f>IF(C35="","",IF(InventoryTable[[#This Row],[Stock Balance]]&lt;=0,"Sold Out",IF((InventoryTable[[#This Row],[Stock Balance]]/InventoryTable[[#This Row],[Total Pieces]])&lt;=0.25,"Low on Stocks","Available")))</f>
        <v>Available</v>
      </c>
    </row>
    <row r="36" spans="1:25" x14ac:dyDescent="0.3">
      <c r="A36" t="str">
        <f>IF(C36="","",_xlfn.CONCAT(LEFT(InventoryTable[[#This Row],[Category]],1),InventoryTable[[#This Row],[Product Pricing Type]],ROW()))</f>
        <v>VFM36</v>
      </c>
      <c r="B36" s="7">
        <v>46268</v>
      </c>
      <c r="C36" t="s">
        <v>72</v>
      </c>
      <c r="D36" t="s">
        <v>70</v>
      </c>
      <c r="E36" t="s">
        <v>71</v>
      </c>
      <c r="F36">
        <v>1</v>
      </c>
      <c r="G36">
        <v>3</v>
      </c>
      <c r="H36">
        <f t="shared" si="0"/>
        <v>3</v>
      </c>
      <c r="I36">
        <v>8.35</v>
      </c>
      <c r="J36">
        <v>0</v>
      </c>
      <c r="K36">
        <f t="shared" si="1"/>
        <v>25.049999999999997</v>
      </c>
      <c r="L36" s="2" t="s">
        <v>61</v>
      </c>
      <c r="M36" s="5">
        <v>0.05</v>
      </c>
      <c r="N36">
        <f t="shared" si="2"/>
        <v>8.7675000000000001</v>
      </c>
      <c r="O36" s="3">
        <v>0.2</v>
      </c>
      <c r="P36">
        <f t="shared" si="3"/>
        <v>10.521000000000001</v>
      </c>
      <c r="Q36" s="4">
        <f t="shared" si="4"/>
        <v>11</v>
      </c>
      <c r="R36">
        <v>0</v>
      </c>
      <c r="S36">
        <f t="shared" si="8"/>
        <v>2.6500000000000004</v>
      </c>
      <c r="T36">
        <f>IF(C36="","",InventoryTable[[#This Row],[Profit per Unit]]*InventoryTable[[#This Row],[Total Pieces]])</f>
        <v>7.9500000000000011</v>
      </c>
      <c r="U36">
        <v>1</v>
      </c>
      <c r="V36">
        <f>IF(C36="","",H36-InventoryTable[[#This Row],[Units Sold]])</f>
        <v>2</v>
      </c>
      <c r="W36">
        <f t="shared" si="6"/>
        <v>11</v>
      </c>
      <c r="X36">
        <f t="shared" si="7"/>
        <v>2.6500000000000004</v>
      </c>
      <c r="Y36" t="str">
        <f>IF(C36="","",IF(InventoryTable[[#This Row],[Stock Balance]]&lt;=0,"Sold Out",IF((InventoryTable[[#This Row],[Stock Balance]]/InventoryTable[[#This Row],[Total Pieces]])&lt;=0.25,"Low on Stocks","Available")))</f>
        <v>Available</v>
      </c>
    </row>
    <row r="37" spans="1:25" x14ac:dyDescent="0.3">
      <c r="A37" t="str">
        <f>IF(C37="","",_xlfn.CONCAT(LEFT(InventoryTable[[#This Row],[Category]],1),InventoryTable[[#This Row],[Product Pricing Type]],ROW()))</f>
        <v>FFM37</v>
      </c>
      <c r="B37" s="7">
        <v>46268</v>
      </c>
      <c r="C37" t="s">
        <v>74</v>
      </c>
      <c r="D37" t="s">
        <v>70</v>
      </c>
      <c r="E37" t="s">
        <v>73</v>
      </c>
      <c r="F37">
        <v>1</v>
      </c>
      <c r="G37">
        <v>3</v>
      </c>
      <c r="H37">
        <f t="shared" si="0"/>
        <v>3</v>
      </c>
      <c r="I37">
        <v>14.4</v>
      </c>
      <c r="J37">
        <v>0</v>
      </c>
      <c r="K37">
        <f t="shared" si="1"/>
        <v>43.2</v>
      </c>
      <c r="L37" s="2" t="s">
        <v>61</v>
      </c>
      <c r="M37" s="5">
        <v>0.05</v>
      </c>
      <c r="N37">
        <f t="shared" si="2"/>
        <v>15.120000000000001</v>
      </c>
      <c r="O37" s="3">
        <v>0.1</v>
      </c>
      <c r="P37">
        <f t="shared" si="3"/>
        <v>16.632000000000001</v>
      </c>
      <c r="Q37" s="4">
        <f t="shared" si="4"/>
        <v>17</v>
      </c>
      <c r="R37">
        <v>0</v>
      </c>
      <c r="S37">
        <f t="shared" si="8"/>
        <v>2.5999999999999996</v>
      </c>
      <c r="T37">
        <f>IF(C37="","",InventoryTable[[#This Row],[Profit per Unit]]*InventoryTable[[#This Row],[Total Pieces]])</f>
        <v>7.7999999999999989</v>
      </c>
      <c r="U37">
        <f t="shared" si="5"/>
        <v>0</v>
      </c>
      <c r="V37">
        <f>IF(C37="","",H37-InventoryTable[[#This Row],[Units Sold]])</f>
        <v>3</v>
      </c>
      <c r="W37">
        <f t="shared" si="6"/>
        <v>0</v>
      </c>
      <c r="X37">
        <f t="shared" si="7"/>
        <v>0</v>
      </c>
      <c r="Y37" t="str">
        <f>IF(C37="","",IF(InventoryTable[[#This Row],[Stock Balance]]&lt;=0,"Sold Out",IF((InventoryTable[[#This Row],[Stock Balance]]/InventoryTable[[#This Row],[Total Pieces]])&lt;=0.25,"Low on Stocks","Available")))</f>
        <v>Available</v>
      </c>
    </row>
    <row r="38" spans="1:25" x14ac:dyDescent="0.3">
      <c r="A38" t="str">
        <f>IF(C38="","",_xlfn.CONCAT(LEFT(InventoryTable[[#This Row],[Category]],1),InventoryTable[[#This Row],[Product Pricing Type]],ROW()))</f>
        <v>TFM38</v>
      </c>
      <c r="B38" s="7">
        <v>46268</v>
      </c>
      <c r="C38" t="s">
        <v>75</v>
      </c>
      <c r="D38" t="s">
        <v>76</v>
      </c>
      <c r="E38" t="s">
        <v>77</v>
      </c>
      <c r="F38">
        <v>1</v>
      </c>
      <c r="G38">
        <v>3</v>
      </c>
      <c r="H38">
        <f t="shared" si="0"/>
        <v>3</v>
      </c>
      <c r="I38">
        <v>19</v>
      </c>
      <c r="J38">
        <v>0</v>
      </c>
      <c r="K38">
        <f t="shared" si="1"/>
        <v>57</v>
      </c>
      <c r="L38" s="2" t="s">
        <v>61</v>
      </c>
      <c r="M38" s="5">
        <v>0.05</v>
      </c>
      <c r="N38">
        <f t="shared" si="2"/>
        <v>19.95</v>
      </c>
      <c r="O38" s="3">
        <v>0.05</v>
      </c>
      <c r="P38">
        <f t="shared" si="3"/>
        <v>20.947499999999998</v>
      </c>
      <c r="Q38" s="4">
        <f t="shared" si="4"/>
        <v>21</v>
      </c>
      <c r="R38">
        <v>0</v>
      </c>
      <c r="S38">
        <f t="shared" si="8"/>
        <v>2</v>
      </c>
      <c r="T38">
        <f>IF(C38="","",InventoryTable[[#This Row],[Profit per Unit]]*InventoryTable[[#This Row],[Total Pieces]])</f>
        <v>6</v>
      </c>
      <c r="U38">
        <f t="shared" si="5"/>
        <v>0</v>
      </c>
      <c r="V38">
        <f>IF(C38="","",H38-InventoryTable[[#This Row],[Units Sold]])</f>
        <v>3</v>
      </c>
      <c r="W38">
        <f t="shared" si="6"/>
        <v>0</v>
      </c>
      <c r="X38">
        <f t="shared" si="7"/>
        <v>0</v>
      </c>
      <c r="Y38" t="str">
        <f>IF(C38="","",IF(InventoryTable[[#This Row],[Stock Balance]]&lt;=0,"Sold Out",IF((InventoryTable[[#This Row],[Stock Balance]]/InventoryTable[[#This Row],[Total Pieces]])&lt;=0.25,"Low on Stocks","Available")))</f>
        <v>Available</v>
      </c>
    </row>
    <row r="39" spans="1:25" x14ac:dyDescent="0.3">
      <c r="A39" t="str">
        <f>IF(C39="","",_xlfn.CONCAT(LEFT(InventoryTable[[#This Row],[Category]],1),InventoryTable[[#This Row],[Product Pricing Type]],ROW()))</f>
        <v>KFM39</v>
      </c>
      <c r="B39" s="7">
        <v>46268</v>
      </c>
      <c r="C39" t="s">
        <v>78</v>
      </c>
      <c r="D39" t="s">
        <v>79</v>
      </c>
      <c r="E39" t="s">
        <v>80</v>
      </c>
      <c r="F39">
        <v>1</v>
      </c>
      <c r="G39">
        <v>3</v>
      </c>
      <c r="H39">
        <f t="shared" si="0"/>
        <v>3</v>
      </c>
      <c r="I39">
        <v>18.7</v>
      </c>
      <c r="J39">
        <v>0</v>
      </c>
      <c r="K39">
        <f t="shared" si="1"/>
        <v>56.099999999999994</v>
      </c>
      <c r="L39" s="2" t="s">
        <v>61</v>
      </c>
      <c r="M39" s="5">
        <v>0.05</v>
      </c>
      <c r="N39">
        <f t="shared" si="2"/>
        <v>19.634999999999998</v>
      </c>
      <c r="O39" s="3">
        <v>0.05</v>
      </c>
      <c r="P39">
        <f t="shared" si="3"/>
        <v>20.616749999999996</v>
      </c>
      <c r="Q39" s="4">
        <f t="shared" si="4"/>
        <v>21</v>
      </c>
      <c r="R39">
        <v>0</v>
      </c>
      <c r="S39">
        <f t="shared" si="8"/>
        <v>2.3000000000000007</v>
      </c>
      <c r="T39">
        <f>IF(C39="","",InventoryTable[[#This Row],[Profit per Unit]]*InventoryTable[[#This Row],[Total Pieces]])</f>
        <v>6.9000000000000021</v>
      </c>
      <c r="U39">
        <f t="shared" si="5"/>
        <v>0</v>
      </c>
      <c r="V39">
        <f>IF(C39="","",H39-InventoryTable[[#This Row],[Units Sold]])</f>
        <v>3</v>
      </c>
      <c r="W39">
        <f t="shared" si="6"/>
        <v>0</v>
      </c>
      <c r="X39">
        <f t="shared" si="7"/>
        <v>0</v>
      </c>
      <c r="Y39" t="str">
        <f>IF(C39="","",IF(InventoryTable[[#This Row],[Stock Balance]]&lt;=0,"Sold Out",IF((InventoryTable[[#This Row],[Stock Balance]]/InventoryTable[[#This Row],[Total Pieces]])&lt;=0.25,"Low on Stocks","Available")))</f>
        <v>Available</v>
      </c>
    </row>
    <row r="40" spans="1:25" x14ac:dyDescent="0.3">
      <c r="A40" t="str">
        <f>IF(C40="","",_xlfn.CONCAT(LEFT(InventoryTable[[#This Row],[Category]],1),InventoryTable[[#This Row],[Product Pricing Type]],ROW()))</f>
        <v>CFM40</v>
      </c>
      <c r="B40" s="7">
        <v>46268</v>
      </c>
      <c r="C40" t="s">
        <v>81</v>
      </c>
      <c r="D40" t="s">
        <v>82</v>
      </c>
      <c r="E40" t="s">
        <v>83</v>
      </c>
      <c r="F40">
        <v>2</v>
      </c>
      <c r="G40">
        <v>10</v>
      </c>
      <c r="H40">
        <f t="shared" si="0"/>
        <v>20</v>
      </c>
      <c r="I40">
        <v>12.85</v>
      </c>
      <c r="J40">
        <v>0</v>
      </c>
      <c r="K40">
        <f t="shared" si="1"/>
        <v>257</v>
      </c>
      <c r="L40" s="2" t="s">
        <v>61</v>
      </c>
      <c r="M40" s="5">
        <v>0.05</v>
      </c>
      <c r="N40">
        <f t="shared" si="2"/>
        <v>13.4925</v>
      </c>
      <c r="O40" s="3">
        <v>0.05</v>
      </c>
      <c r="P40">
        <f t="shared" si="3"/>
        <v>14.167125</v>
      </c>
      <c r="Q40" s="4">
        <f t="shared" si="4"/>
        <v>15</v>
      </c>
      <c r="R40">
        <v>0</v>
      </c>
      <c r="S40">
        <f t="shared" si="8"/>
        <v>2.1500000000000004</v>
      </c>
      <c r="T40">
        <f>IF(C40="","",InventoryTable[[#This Row],[Profit per Unit]]*InventoryTable[[#This Row],[Total Pieces]])</f>
        <v>43.000000000000007</v>
      </c>
      <c r="U40">
        <v>1</v>
      </c>
      <c r="V40">
        <f>IF(C40="","",H40-InventoryTable[[#This Row],[Units Sold]])</f>
        <v>19</v>
      </c>
      <c r="W40">
        <f t="shared" si="6"/>
        <v>15</v>
      </c>
      <c r="X40">
        <f t="shared" si="7"/>
        <v>2.1500000000000004</v>
      </c>
      <c r="Y40" t="str">
        <f>IF(C40="","",IF(InventoryTable[[#This Row],[Stock Balance]]&lt;=0,"Sold Out",IF((InventoryTable[[#This Row],[Stock Balance]]/InventoryTable[[#This Row],[Total Pieces]])&lt;=0.25,"Low on Stocks","Available")))</f>
        <v>Available</v>
      </c>
    </row>
    <row r="41" spans="1:25" x14ac:dyDescent="0.3">
      <c r="A41" t="str">
        <f>IF(C41="","",_xlfn.CONCAT(LEFT(InventoryTable[[#This Row],[Category]],1),InventoryTable[[#This Row],[Product Pricing Type]],ROW()))</f>
        <v>CFM41</v>
      </c>
      <c r="B41" s="7">
        <v>46268</v>
      </c>
      <c r="C41" t="s">
        <v>81</v>
      </c>
      <c r="D41" t="s">
        <v>82</v>
      </c>
      <c r="E41" t="s">
        <v>84</v>
      </c>
      <c r="F41">
        <v>2</v>
      </c>
      <c r="G41">
        <v>12</v>
      </c>
      <c r="H41">
        <f t="shared" si="0"/>
        <v>24</v>
      </c>
      <c r="I41">
        <v>37</v>
      </c>
      <c r="J41">
        <v>1</v>
      </c>
      <c r="K41">
        <f t="shared" si="1"/>
        <v>1.5416666666666667</v>
      </c>
      <c r="L41" s="2" t="s">
        <v>61</v>
      </c>
      <c r="M41" s="5">
        <v>0.05</v>
      </c>
      <c r="N41">
        <f t="shared" si="2"/>
        <v>1.6187500000000001</v>
      </c>
      <c r="O41" s="3">
        <v>1</v>
      </c>
      <c r="P41">
        <f t="shared" si="3"/>
        <v>3.2375000000000003</v>
      </c>
      <c r="Q41" s="4">
        <f t="shared" si="4"/>
        <v>4</v>
      </c>
      <c r="R41">
        <v>0</v>
      </c>
      <c r="S41">
        <f t="shared" si="8"/>
        <v>2.458333333333333</v>
      </c>
      <c r="T41">
        <f>IF(C41="","",InventoryTable[[#This Row],[Profit per Unit]]*InventoryTable[[#This Row],[Total Pieces]])</f>
        <v>58.999999999999993</v>
      </c>
      <c r="U41">
        <f t="shared" si="5"/>
        <v>0</v>
      </c>
      <c r="V41">
        <f>IF(C41="","",H41-InventoryTable[[#This Row],[Units Sold]])</f>
        <v>24</v>
      </c>
      <c r="W41">
        <f t="shared" si="6"/>
        <v>0</v>
      </c>
      <c r="X41">
        <f t="shared" si="7"/>
        <v>0</v>
      </c>
      <c r="Y41" t="str">
        <f>IF(C41="","",IF(InventoryTable[[#This Row],[Stock Balance]]&lt;=0,"Sold Out",IF((InventoryTable[[#This Row],[Stock Balance]]/InventoryTable[[#This Row],[Total Pieces]])&lt;=0.25,"Low on Stocks","Available")))</f>
        <v>Available</v>
      </c>
    </row>
    <row r="42" spans="1:25" x14ac:dyDescent="0.3">
      <c r="A42" t="str">
        <f>IF(C42="","",_xlfn.CONCAT(LEFT(InventoryTable[[#This Row],[Category]],1),InventoryTable[[#This Row],[Product Pricing Type]],ROW()))</f>
        <v>CFM42</v>
      </c>
      <c r="B42" s="7">
        <v>46268</v>
      </c>
      <c r="C42" t="s">
        <v>85</v>
      </c>
      <c r="D42" t="s">
        <v>86</v>
      </c>
      <c r="E42" t="s">
        <v>87</v>
      </c>
      <c r="F42">
        <v>1</v>
      </c>
      <c r="G42">
        <v>12</v>
      </c>
      <c r="H42">
        <f t="shared" si="0"/>
        <v>12</v>
      </c>
      <c r="I42">
        <v>6.15</v>
      </c>
      <c r="J42">
        <v>0</v>
      </c>
      <c r="K42">
        <f t="shared" si="1"/>
        <v>73.800000000000011</v>
      </c>
      <c r="L42" s="2" t="s">
        <v>61</v>
      </c>
      <c r="M42" s="5">
        <v>0.05</v>
      </c>
      <c r="N42">
        <f t="shared" si="2"/>
        <v>6.4575000000000005</v>
      </c>
      <c r="O42" s="3">
        <v>0.3</v>
      </c>
      <c r="P42">
        <f t="shared" si="3"/>
        <v>8.3947500000000002</v>
      </c>
      <c r="Q42" s="4">
        <f t="shared" si="4"/>
        <v>9</v>
      </c>
      <c r="R42">
        <v>0</v>
      </c>
      <c r="S42">
        <f t="shared" si="8"/>
        <v>2.8499999999999996</v>
      </c>
      <c r="T42">
        <f>IF(C42="","",InventoryTable[[#This Row],[Profit per Unit]]*InventoryTable[[#This Row],[Total Pieces]])</f>
        <v>34.199999999999996</v>
      </c>
      <c r="U42">
        <f t="shared" si="5"/>
        <v>0</v>
      </c>
      <c r="V42">
        <f>IF(C42="","",H42-InventoryTable[[#This Row],[Units Sold]])</f>
        <v>12</v>
      </c>
      <c r="W42">
        <f t="shared" si="6"/>
        <v>0</v>
      </c>
      <c r="X42">
        <f t="shared" si="7"/>
        <v>0</v>
      </c>
      <c r="Y42" t="str">
        <f>IF(C42="","",IF(InventoryTable[[#This Row],[Stock Balance]]&lt;=0,"Sold Out",IF((InventoryTable[[#This Row],[Stock Balance]]/InventoryTable[[#This Row],[Total Pieces]])&lt;=0.25,"Low on Stocks","Available")))</f>
        <v>Available</v>
      </c>
    </row>
    <row r="43" spans="1:25" x14ac:dyDescent="0.3">
      <c r="A43" t="str">
        <f>IF(C43="","",_xlfn.CONCAT(LEFT(InventoryTable[[#This Row],[Category]],1),InventoryTable[[#This Row],[Product Pricing Type]],ROW()))</f>
        <v>CFM43</v>
      </c>
      <c r="B43" s="7">
        <v>46268</v>
      </c>
      <c r="C43" t="s">
        <v>85</v>
      </c>
      <c r="D43" t="s">
        <v>86</v>
      </c>
      <c r="E43" t="s">
        <v>88</v>
      </c>
      <c r="F43">
        <v>1</v>
      </c>
      <c r="G43">
        <v>12</v>
      </c>
      <c r="H43">
        <f t="shared" si="0"/>
        <v>12</v>
      </c>
      <c r="I43">
        <v>6.15</v>
      </c>
      <c r="J43">
        <v>0</v>
      </c>
      <c r="K43">
        <f t="shared" si="1"/>
        <v>73.800000000000011</v>
      </c>
      <c r="L43" s="2" t="s">
        <v>61</v>
      </c>
      <c r="M43" s="5">
        <v>0.05</v>
      </c>
      <c r="N43">
        <f t="shared" si="2"/>
        <v>6.4575000000000005</v>
      </c>
      <c r="O43" s="3">
        <v>0.3</v>
      </c>
      <c r="P43">
        <f t="shared" si="3"/>
        <v>8.3947500000000002</v>
      </c>
      <c r="Q43" s="4">
        <f t="shared" si="4"/>
        <v>9</v>
      </c>
      <c r="R43">
        <v>0</v>
      </c>
      <c r="S43">
        <f t="shared" si="8"/>
        <v>2.8499999999999996</v>
      </c>
      <c r="T43">
        <f>IF(C43="","",InventoryTable[[#This Row],[Profit per Unit]]*InventoryTable[[#This Row],[Total Pieces]])</f>
        <v>34.199999999999996</v>
      </c>
      <c r="U43">
        <f t="shared" si="5"/>
        <v>0</v>
      </c>
      <c r="V43">
        <f>IF(C43="","",H43-InventoryTable[[#This Row],[Units Sold]])</f>
        <v>12</v>
      </c>
      <c r="W43">
        <f t="shared" si="6"/>
        <v>0</v>
      </c>
      <c r="X43">
        <f t="shared" si="7"/>
        <v>0</v>
      </c>
      <c r="Y43" t="str">
        <f>IF(C43="","",IF(InventoryTable[[#This Row],[Stock Balance]]&lt;=0,"Sold Out",IF((InventoryTable[[#This Row],[Stock Balance]]/InventoryTable[[#This Row],[Total Pieces]])&lt;=0.25,"Low on Stocks","Available")))</f>
        <v>Available</v>
      </c>
    </row>
    <row r="44" spans="1:25" x14ac:dyDescent="0.3">
      <c r="A44" t="str">
        <f>IF(C44="","",_xlfn.CONCAT(LEFT(InventoryTable[[#This Row],[Category]],1),InventoryTable[[#This Row],[Product Pricing Type]],ROW()))</f>
        <v>PFM44</v>
      </c>
      <c r="B44" s="7">
        <v>46268</v>
      </c>
      <c r="C44" t="s">
        <v>89</v>
      </c>
      <c r="D44" t="s">
        <v>90</v>
      </c>
      <c r="E44" t="s">
        <v>91</v>
      </c>
      <c r="F44">
        <v>1</v>
      </c>
      <c r="G44">
        <v>24</v>
      </c>
      <c r="H44">
        <f t="shared" si="0"/>
        <v>24</v>
      </c>
      <c r="I44">
        <v>11.4</v>
      </c>
      <c r="J44">
        <v>0</v>
      </c>
      <c r="K44">
        <f t="shared" si="1"/>
        <v>273.60000000000002</v>
      </c>
      <c r="L44" s="2" t="s">
        <v>61</v>
      </c>
      <c r="M44" s="5">
        <v>0.05</v>
      </c>
      <c r="N44">
        <f t="shared" si="2"/>
        <v>11.97</v>
      </c>
      <c r="O44" s="3">
        <v>0.1</v>
      </c>
      <c r="P44">
        <f t="shared" si="3"/>
        <v>13.167000000000002</v>
      </c>
      <c r="Q44" s="4">
        <f t="shared" si="4"/>
        <v>14</v>
      </c>
      <c r="R44">
        <v>0</v>
      </c>
      <c r="S44">
        <f t="shared" si="8"/>
        <v>2.5999999999999996</v>
      </c>
      <c r="T44">
        <f>IF(C44="","",InventoryTable[[#This Row],[Profit per Unit]]*InventoryTable[[#This Row],[Total Pieces]])</f>
        <v>62.399999999999991</v>
      </c>
      <c r="U44">
        <f t="shared" si="5"/>
        <v>0</v>
      </c>
      <c r="V44">
        <f>IF(C44="","",H44-InventoryTable[[#This Row],[Units Sold]])</f>
        <v>24</v>
      </c>
      <c r="W44">
        <f t="shared" si="6"/>
        <v>0</v>
      </c>
      <c r="X44">
        <f t="shared" si="7"/>
        <v>0</v>
      </c>
      <c r="Y44" t="str">
        <f>IF(C44="","",IF(InventoryTable[[#This Row],[Stock Balance]]&lt;=0,"Sold Out",IF((InventoryTable[[#This Row],[Stock Balance]]/InventoryTable[[#This Row],[Total Pieces]])&lt;=0.25,"Low on Stocks","Available")))</f>
        <v>Available</v>
      </c>
    </row>
    <row r="45" spans="1:25" x14ac:dyDescent="0.3">
      <c r="A45" t="str">
        <f>IF(C45="","",_xlfn.CONCAT(LEFT(InventoryTable[[#This Row],[Category]],1),InventoryTable[[#This Row],[Product Pricing Type]],ROW()))</f>
        <v>NFM45</v>
      </c>
      <c r="B45" s="7">
        <v>46268</v>
      </c>
      <c r="C45" t="s">
        <v>92</v>
      </c>
      <c r="D45" t="s">
        <v>93</v>
      </c>
      <c r="E45" t="s">
        <v>94</v>
      </c>
      <c r="F45">
        <v>1</v>
      </c>
      <c r="G45">
        <v>5</v>
      </c>
      <c r="H45">
        <f t="shared" si="0"/>
        <v>5</v>
      </c>
      <c r="I45">
        <v>14.7</v>
      </c>
      <c r="J45">
        <v>0</v>
      </c>
      <c r="K45">
        <f t="shared" si="1"/>
        <v>73.5</v>
      </c>
      <c r="L45" s="2" t="s">
        <v>61</v>
      </c>
      <c r="M45" s="5">
        <v>0.05</v>
      </c>
      <c r="N45">
        <f t="shared" si="2"/>
        <v>15.434999999999999</v>
      </c>
      <c r="O45" s="3">
        <v>0.1</v>
      </c>
      <c r="P45">
        <f t="shared" si="3"/>
        <v>16.978499999999997</v>
      </c>
      <c r="Q45" s="4">
        <f t="shared" si="4"/>
        <v>17</v>
      </c>
      <c r="R45">
        <v>0</v>
      </c>
      <c r="S45">
        <f t="shared" si="8"/>
        <v>2.3000000000000007</v>
      </c>
      <c r="T45">
        <f>IF(C45="","",InventoryTable[[#This Row],[Profit per Unit]]*InventoryTable[[#This Row],[Total Pieces]])</f>
        <v>11.500000000000004</v>
      </c>
      <c r="U45">
        <f t="shared" si="5"/>
        <v>0</v>
      </c>
      <c r="V45">
        <f>IF(C45="","",H45-InventoryTable[[#This Row],[Units Sold]])</f>
        <v>5</v>
      </c>
      <c r="W45">
        <f t="shared" si="6"/>
        <v>0</v>
      </c>
      <c r="X45">
        <f t="shared" si="7"/>
        <v>0</v>
      </c>
      <c r="Y45" t="str">
        <f>IF(C45="","",IF(InventoryTable[[#This Row],[Stock Balance]]&lt;=0,"Sold Out",IF((InventoryTable[[#This Row],[Stock Balance]]/InventoryTable[[#This Row],[Total Pieces]])&lt;=0.25,"Low on Stocks","Available")))</f>
        <v>Available</v>
      </c>
    </row>
    <row r="46" spans="1:25" x14ac:dyDescent="0.3">
      <c r="A46" t="str">
        <f>IF(C46="","",_xlfn.CONCAT(LEFT(InventoryTable[[#This Row],[Category]],1),InventoryTable[[#This Row],[Product Pricing Type]],ROW()))</f>
        <v>PFM46</v>
      </c>
      <c r="B46" s="7">
        <v>46268</v>
      </c>
      <c r="C46" t="s">
        <v>100</v>
      </c>
      <c r="D46" t="s">
        <v>95</v>
      </c>
      <c r="E46" t="s">
        <v>96</v>
      </c>
      <c r="F46">
        <v>1</v>
      </c>
      <c r="G46">
        <v>3</v>
      </c>
      <c r="H46">
        <f t="shared" si="0"/>
        <v>3</v>
      </c>
      <c r="I46">
        <v>18.850000000000001</v>
      </c>
      <c r="J46">
        <v>0</v>
      </c>
      <c r="K46">
        <f t="shared" si="1"/>
        <v>56.550000000000004</v>
      </c>
      <c r="L46" s="2" t="s">
        <v>61</v>
      </c>
      <c r="M46" s="5">
        <v>0.05</v>
      </c>
      <c r="N46">
        <f t="shared" si="2"/>
        <v>19.7925</v>
      </c>
      <c r="O46" s="3">
        <v>0.05</v>
      </c>
      <c r="P46">
        <f t="shared" si="3"/>
        <v>20.782125000000001</v>
      </c>
      <c r="Q46" s="4">
        <f t="shared" si="4"/>
        <v>21</v>
      </c>
      <c r="R46">
        <v>0</v>
      </c>
      <c r="S46">
        <f t="shared" si="8"/>
        <v>2.1499999999999986</v>
      </c>
      <c r="T46">
        <f>IF(C46="","",InventoryTable[[#This Row],[Profit per Unit]]*InventoryTable[[#This Row],[Total Pieces]])</f>
        <v>6.4499999999999957</v>
      </c>
      <c r="U46">
        <f t="shared" si="5"/>
        <v>0</v>
      </c>
      <c r="V46">
        <f>IF(C46="","",H46-InventoryTable[[#This Row],[Units Sold]])</f>
        <v>3</v>
      </c>
      <c r="W46">
        <f t="shared" si="6"/>
        <v>0</v>
      </c>
      <c r="X46">
        <f t="shared" si="7"/>
        <v>0</v>
      </c>
      <c r="Y46" t="str">
        <f>IF(C46="","",IF(InventoryTable[[#This Row],[Stock Balance]]&lt;=0,"Sold Out",IF((InventoryTable[[#This Row],[Stock Balance]]/InventoryTable[[#This Row],[Total Pieces]])&lt;=0.25,"Low on Stocks","Available")))</f>
        <v>Available</v>
      </c>
    </row>
    <row r="47" spans="1:25" x14ac:dyDescent="0.3">
      <c r="A47" t="str">
        <f>IF(C47="","",_xlfn.CONCAT(LEFT(InventoryTable[[#This Row],[Category]],1),InventoryTable[[#This Row],[Product Pricing Type]],ROW()))</f>
        <v>PFM47</v>
      </c>
      <c r="B47" s="7">
        <v>46268</v>
      </c>
      <c r="C47" t="s">
        <v>100</v>
      </c>
      <c r="D47" t="s">
        <v>95</v>
      </c>
      <c r="E47" t="s">
        <v>97</v>
      </c>
      <c r="F47">
        <v>1</v>
      </c>
      <c r="G47">
        <v>3</v>
      </c>
      <c r="H47">
        <f t="shared" si="0"/>
        <v>3</v>
      </c>
      <c r="I47">
        <v>18.850000000000001</v>
      </c>
      <c r="J47">
        <v>0</v>
      </c>
      <c r="K47">
        <f t="shared" si="1"/>
        <v>56.550000000000004</v>
      </c>
      <c r="L47" s="2" t="s">
        <v>61</v>
      </c>
      <c r="M47" s="5">
        <v>0.05</v>
      </c>
      <c r="N47">
        <f t="shared" si="2"/>
        <v>19.7925</v>
      </c>
      <c r="O47" s="3">
        <v>0.05</v>
      </c>
      <c r="P47">
        <f t="shared" si="3"/>
        <v>20.782125000000001</v>
      </c>
      <c r="Q47" s="4">
        <f t="shared" si="4"/>
        <v>21</v>
      </c>
      <c r="R47">
        <v>0</v>
      </c>
      <c r="S47">
        <f t="shared" si="8"/>
        <v>2.1499999999999986</v>
      </c>
      <c r="T47">
        <f>IF(C47="","",InventoryTable[[#This Row],[Profit per Unit]]*InventoryTable[[#This Row],[Total Pieces]])</f>
        <v>6.4499999999999957</v>
      </c>
      <c r="U47">
        <f t="shared" si="5"/>
        <v>0</v>
      </c>
      <c r="V47">
        <f>IF(C47="","",H47-InventoryTable[[#This Row],[Units Sold]])</f>
        <v>3</v>
      </c>
      <c r="W47">
        <f t="shared" si="6"/>
        <v>0</v>
      </c>
      <c r="X47">
        <f t="shared" si="7"/>
        <v>0</v>
      </c>
      <c r="Y47" t="str">
        <f>IF(C47="","",IF(InventoryTable[[#This Row],[Stock Balance]]&lt;=0,"Sold Out",IF((InventoryTable[[#This Row],[Stock Balance]]/InventoryTable[[#This Row],[Total Pieces]])&lt;=0.25,"Low on Stocks","Available")))</f>
        <v>Available</v>
      </c>
    </row>
    <row r="48" spans="1:25" x14ac:dyDescent="0.3">
      <c r="A48" t="str">
        <f>IF(C48="","",_xlfn.CONCAT(LEFT(InventoryTable[[#This Row],[Category]],1),InventoryTable[[#This Row],[Product Pricing Type]],ROW()))</f>
        <v>PFM48</v>
      </c>
      <c r="B48" s="7">
        <v>46268</v>
      </c>
      <c r="C48" t="s">
        <v>100</v>
      </c>
      <c r="D48" t="s">
        <v>95</v>
      </c>
      <c r="E48" t="s">
        <v>98</v>
      </c>
      <c r="F48">
        <v>1</v>
      </c>
      <c r="G48">
        <v>5</v>
      </c>
      <c r="H48">
        <f t="shared" si="0"/>
        <v>5</v>
      </c>
      <c r="I48">
        <v>14.65</v>
      </c>
      <c r="J48">
        <v>0</v>
      </c>
      <c r="K48">
        <f t="shared" si="1"/>
        <v>73.25</v>
      </c>
      <c r="L48" s="2" t="s">
        <v>61</v>
      </c>
      <c r="M48" s="5">
        <v>0.05</v>
      </c>
      <c r="N48">
        <f t="shared" si="2"/>
        <v>15.3825</v>
      </c>
      <c r="O48" s="3">
        <v>0.05</v>
      </c>
      <c r="P48">
        <f t="shared" si="3"/>
        <v>16.151624999999999</v>
      </c>
      <c r="Q48" s="4">
        <f t="shared" si="4"/>
        <v>17</v>
      </c>
      <c r="R48">
        <v>0</v>
      </c>
      <c r="S48">
        <f t="shared" si="8"/>
        <v>2.3499999999999996</v>
      </c>
      <c r="T48">
        <f>IF(C48="","",InventoryTable[[#This Row],[Profit per Unit]]*InventoryTable[[#This Row],[Total Pieces]])</f>
        <v>11.749999999999998</v>
      </c>
      <c r="U48">
        <f t="shared" si="5"/>
        <v>0</v>
      </c>
      <c r="V48">
        <f>IF(C48="","",H48-InventoryTable[[#This Row],[Units Sold]])</f>
        <v>5</v>
      </c>
      <c r="W48">
        <f t="shared" si="6"/>
        <v>0</v>
      </c>
      <c r="X48">
        <f t="shared" si="7"/>
        <v>0</v>
      </c>
      <c r="Y48" t="str">
        <f>IF(C48="","",IF(InventoryTable[[#This Row],[Stock Balance]]&lt;=0,"Sold Out",IF((InventoryTable[[#This Row],[Stock Balance]]/InventoryTable[[#This Row],[Total Pieces]])&lt;=0.25,"Low on Stocks","Available")))</f>
        <v>Available</v>
      </c>
    </row>
    <row r="49" spans="1:25" x14ac:dyDescent="0.3">
      <c r="A49" t="str">
        <f>IF(C49="","",_xlfn.CONCAT(LEFT(InventoryTable[[#This Row],[Category]],1),InventoryTable[[#This Row],[Product Pricing Type]],ROW()))</f>
        <v>PFM49</v>
      </c>
      <c r="B49" s="7">
        <v>46268</v>
      </c>
      <c r="C49" t="s">
        <v>100</v>
      </c>
      <c r="D49" t="s">
        <v>95</v>
      </c>
      <c r="E49" t="s">
        <v>99</v>
      </c>
      <c r="F49">
        <v>1</v>
      </c>
      <c r="G49">
        <v>5</v>
      </c>
      <c r="H49">
        <f t="shared" si="0"/>
        <v>5</v>
      </c>
      <c r="I49">
        <v>14.65</v>
      </c>
      <c r="J49">
        <v>0</v>
      </c>
      <c r="K49">
        <f t="shared" si="1"/>
        <v>73.25</v>
      </c>
      <c r="L49" s="2" t="s">
        <v>61</v>
      </c>
      <c r="M49" s="5">
        <v>0.05</v>
      </c>
      <c r="N49">
        <f t="shared" si="2"/>
        <v>15.3825</v>
      </c>
      <c r="O49" s="3">
        <v>0.05</v>
      </c>
      <c r="P49">
        <f t="shared" si="3"/>
        <v>16.151624999999999</v>
      </c>
      <c r="Q49" s="4">
        <f t="shared" si="4"/>
        <v>17</v>
      </c>
      <c r="R49">
        <v>0</v>
      </c>
      <c r="S49">
        <f t="shared" si="8"/>
        <v>2.3499999999999996</v>
      </c>
      <c r="T49">
        <f>IF(C49="","",InventoryTable[[#This Row],[Profit per Unit]]*InventoryTable[[#This Row],[Total Pieces]])</f>
        <v>11.749999999999998</v>
      </c>
      <c r="U49">
        <f t="shared" si="5"/>
        <v>0</v>
      </c>
      <c r="V49">
        <f>IF(C49="","",H49-InventoryTable[[#This Row],[Units Sold]])</f>
        <v>5</v>
      </c>
      <c r="W49">
        <f t="shared" si="6"/>
        <v>0</v>
      </c>
      <c r="X49">
        <f t="shared" si="7"/>
        <v>0</v>
      </c>
      <c r="Y49" t="str">
        <f>IF(C49="","",IF(InventoryTable[[#This Row],[Stock Balance]]&lt;=0,"Sold Out",IF((InventoryTable[[#This Row],[Stock Balance]]/InventoryTable[[#This Row],[Total Pieces]])&lt;=0.25,"Low on Stocks","Available")))</f>
        <v>Available</v>
      </c>
    </row>
    <row r="50" spans="1:25" x14ac:dyDescent="0.3">
      <c r="A50" t="str">
        <f>IF(C50="","",_xlfn.CONCAT(LEFT(InventoryTable[[#This Row],[Category]],1),InventoryTable[[#This Row],[Product Pricing Type]],ROW()))</f>
        <v>PFM50</v>
      </c>
      <c r="B50" s="7">
        <v>46268</v>
      </c>
      <c r="C50" t="s">
        <v>100</v>
      </c>
      <c r="D50" t="s">
        <v>95</v>
      </c>
      <c r="E50" t="s">
        <v>101</v>
      </c>
      <c r="F50">
        <v>1</v>
      </c>
      <c r="G50">
        <v>5</v>
      </c>
      <c r="H50">
        <f t="shared" si="0"/>
        <v>5</v>
      </c>
      <c r="I50">
        <v>14.65</v>
      </c>
      <c r="J50">
        <v>0</v>
      </c>
      <c r="K50">
        <f t="shared" si="1"/>
        <v>73.25</v>
      </c>
      <c r="L50" s="2" t="s">
        <v>61</v>
      </c>
      <c r="M50" s="5">
        <v>0.05</v>
      </c>
      <c r="N50">
        <f t="shared" si="2"/>
        <v>15.3825</v>
      </c>
      <c r="O50" s="3">
        <v>0.05</v>
      </c>
      <c r="P50">
        <f t="shared" si="3"/>
        <v>16.151624999999999</v>
      </c>
      <c r="Q50" s="4">
        <f t="shared" si="4"/>
        <v>17</v>
      </c>
      <c r="R50">
        <v>0</v>
      </c>
      <c r="S50">
        <f t="shared" si="8"/>
        <v>2.3499999999999996</v>
      </c>
      <c r="T50">
        <f>IF(C50="","",InventoryTable[[#This Row],[Profit per Unit]]*InventoryTable[[#This Row],[Total Pieces]])</f>
        <v>11.749999999999998</v>
      </c>
      <c r="U50">
        <f t="shared" si="5"/>
        <v>0</v>
      </c>
      <c r="V50">
        <f>IF(C50="","",H50-InventoryTable[[#This Row],[Units Sold]])</f>
        <v>5</v>
      </c>
      <c r="W50">
        <f t="shared" si="6"/>
        <v>0</v>
      </c>
      <c r="X50">
        <f t="shared" si="7"/>
        <v>0</v>
      </c>
      <c r="Y50" t="str">
        <f>IF(C50="","",IF(InventoryTable[[#This Row],[Stock Balance]]&lt;=0,"Sold Out",IF((InventoryTable[[#This Row],[Stock Balance]]/InventoryTable[[#This Row],[Total Pieces]])&lt;=0.25,"Low on Stocks","Available")))</f>
        <v>Available</v>
      </c>
    </row>
    <row r="51" spans="1:25" x14ac:dyDescent="0.3">
      <c r="A51" t="str">
        <f>IF(C51="","",_xlfn.CONCAT(LEFT(InventoryTable[[#This Row],[Category]],1),InventoryTable[[#This Row],[Product Pricing Type]],ROW()))</f>
        <v>PFM51</v>
      </c>
      <c r="B51" s="7">
        <v>46268</v>
      </c>
      <c r="C51" t="s">
        <v>100</v>
      </c>
      <c r="D51" t="s">
        <v>95</v>
      </c>
      <c r="E51" t="s">
        <v>102</v>
      </c>
      <c r="F51">
        <v>1</v>
      </c>
      <c r="G51">
        <v>5</v>
      </c>
      <c r="H51">
        <f t="shared" si="0"/>
        <v>5</v>
      </c>
      <c r="I51">
        <v>14.65</v>
      </c>
      <c r="J51">
        <v>0</v>
      </c>
      <c r="K51">
        <f t="shared" si="1"/>
        <v>73.25</v>
      </c>
      <c r="L51" s="2" t="s">
        <v>61</v>
      </c>
      <c r="M51" s="5">
        <v>0.05</v>
      </c>
      <c r="N51">
        <f t="shared" si="2"/>
        <v>15.3825</v>
      </c>
      <c r="O51" s="3">
        <v>0.05</v>
      </c>
      <c r="P51">
        <f t="shared" si="3"/>
        <v>16.151624999999999</v>
      </c>
      <c r="Q51" s="4">
        <f t="shared" si="4"/>
        <v>17</v>
      </c>
      <c r="R51">
        <v>0</v>
      </c>
      <c r="S51">
        <f t="shared" si="8"/>
        <v>2.3499999999999996</v>
      </c>
      <c r="T51">
        <f>IF(C51="","",InventoryTable[[#This Row],[Profit per Unit]]*InventoryTable[[#This Row],[Total Pieces]])</f>
        <v>11.749999999999998</v>
      </c>
      <c r="U51">
        <f t="shared" si="5"/>
        <v>0</v>
      </c>
      <c r="V51">
        <f>IF(C51="","",H51-InventoryTable[[#This Row],[Units Sold]])</f>
        <v>5</v>
      </c>
      <c r="W51">
        <f t="shared" si="6"/>
        <v>0</v>
      </c>
      <c r="X51">
        <f t="shared" si="7"/>
        <v>0</v>
      </c>
      <c r="Y51" t="str">
        <f>IF(C51="","",IF(InventoryTable[[#This Row],[Stock Balance]]&lt;=0,"Sold Out",IF((InventoryTable[[#This Row],[Stock Balance]]/InventoryTable[[#This Row],[Total Pieces]])&lt;=0.25,"Low on Stocks","Available")))</f>
        <v>Available</v>
      </c>
    </row>
    <row r="52" spans="1:25" x14ac:dyDescent="0.3">
      <c r="A52" t="str">
        <f>IF(C52="","",_xlfn.CONCAT(LEFT(InventoryTable[[#This Row],[Category]],1),InventoryTable[[#This Row],[Product Pricing Type]],ROW()))</f>
        <v>SFM52</v>
      </c>
      <c r="B52" s="7">
        <v>46268</v>
      </c>
      <c r="C52" t="s">
        <v>103</v>
      </c>
      <c r="D52" t="s">
        <v>104</v>
      </c>
      <c r="E52" t="s">
        <v>105</v>
      </c>
      <c r="F52">
        <v>1</v>
      </c>
      <c r="G52">
        <v>12</v>
      </c>
      <c r="H52">
        <f t="shared" si="0"/>
        <v>12</v>
      </c>
      <c r="I52">
        <v>11.9</v>
      </c>
      <c r="J52">
        <v>0</v>
      </c>
      <c r="K52">
        <f t="shared" si="1"/>
        <v>142.80000000000001</v>
      </c>
      <c r="L52" s="2" t="s">
        <v>61</v>
      </c>
      <c r="M52" s="5">
        <v>0.05</v>
      </c>
      <c r="N52">
        <f t="shared" si="2"/>
        <v>12.495000000000001</v>
      </c>
      <c r="O52" s="3">
        <v>0.05</v>
      </c>
      <c r="P52">
        <f t="shared" si="3"/>
        <v>13.119750000000002</v>
      </c>
      <c r="Q52" s="4">
        <f t="shared" si="4"/>
        <v>14</v>
      </c>
      <c r="R52">
        <v>0</v>
      </c>
      <c r="S52">
        <f t="shared" si="8"/>
        <v>2.0999999999999996</v>
      </c>
      <c r="T52">
        <f>IF(C52="","",InventoryTable[[#This Row],[Profit per Unit]]*InventoryTable[[#This Row],[Total Pieces]])</f>
        <v>25.199999999999996</v>
      </c>
      <c r="U52">
        <f t="shared" si="5"/>
        <v>0</v>
      </c>
      <c r="V52">
        <f>IF(C52="","",H52-InventoryTable[[#This Row],[Units Sold]])</f>
        <v>12</v>
      </c>
      <c r="W52">
        <f t="shared" si="6"/>
        <v>0</v>
      </c>
      <c r="X52">
        <f t="shared" si="7"/>
        <v>0</v>
      </c>
      <c r="Y52" t="str">
        <f>IF(C52="","",IF(InventoryTable[[#This Row],[Stock Balance]]&lt;=0,"Sold Out",IF((InventoryTable[[#This Row],[Stock Balance]]/InventoryTable[[#This Row],[Total Pieces]])&lt;=0.25,"Low on Stocks","Available")))</f>
        <v>Available</v>
      </c>
    </row>
    <row r="53" spans="1:25" x14ac:dyDescent="0.3">
      <c r="A53" t="str">
        <f>IF(C53="","",_xlfn.CONCAT(LEFT(InventoryTable[[#This Row],[Category]],1),InventoryTable[[#This Row],[Product Pricing Type]],ROW()))</f>
        <v>NFM53</v>
      </c>
      <c r="B53" s="7">
        <v>46268</v>
      </c>
      <c r="C53" t="s">
        <v>92</v>
      </c>
      <c r="D53" t="s">
        <v>95</v>
      </c>
      <c r="E53" t="s">
        <v>106</v>
      </c>
      <c r="F53">
        <v>1</v>
      </c>
      <c r="G53">
        <v>5</v>
      </c>
      <c r="H53">
        <f t="shared" si="0"/>
        <v>5</v>
      </c>
      <c r="I53">
        <v>10.4</v>
      </c>
      <c r="J53">
        <v>0</v>
      </c>
      <c r="K53">
        <f t="shared" si="1"/>
        <v>52</v>
      </c>
      <c r="L53" s="2" t="s">
        <v>61</v>
      </c>
      <c r="M53" s="5">
        <v>0.05</v>
      </c>
      <c r="N53">
        <f t="shared" si="2"/>
        <v>10.92</v>
      </c>
      <c r="O53" s="3">
        <v>0.1</v>
      </c>
      <c r="P53">
        <f t="shared" si="3"/>
        <v>12.012</v>
      </c>
      <c r="Q53" s="4">
        <f t="shared" si="4"/>
        <v>13</v>
      </c>
      <c r="R53">
        <v>0</v>
      </c>
      <c r="S53">
        <f t="shared" si="8"/>
        <v>2.5999999999999996</v>
      </c>
      <c r="T53">
        <f>IF(C53="","",InventoryTable[[#This Row],[Profit per Unit]]*InventoryTable[[#This Row],[Total Pieces]])</f>
        <v>12.999999999999998</v>
      </c>
      <c r="U53">
        <f t="shared" si="5"/>
        <v>0</v>
      </c>
      <c r="V53">
        <f>IF(C53="","",H53-InventoryTable[[#This Row],[Units Sold]])</f>
        <v>5</v>
      </c>
      <c r="W53">
        <f t="shared" si="6"/>
        <v>0</v>
      </c>
      <c r="X53">
        <f t="shared" si="7"/>
        <v>0</v>
      </c>
      <c r="Y53" t="str">
        <f>IF(C53="","",IF(InventoryTable[[#This Row],[Stock Balance]]&lt;=0,"Sold Out",IF((InventoryTable[[#This Row],[Stock Balance]]/InventoryTable[[#This Row],[Total Pieces]])&lt;=0.25,"Low on Stocks","Available")))</f>
        <v>Available</v>
      </c>
    </row>
    <row r="54" spans="1:25" x14ac:dyDescent="0.3">
      <c r="A54" t="str">
        <f>IF(C54="","",_xlfn.CONCAT(LEFT(InventoryTable[[#This Row],[Category]],1),InventoryTable[[#This Row],[Product Pricing Type]],ROW()))</f>
        <v>NFM54</v>
      </c>
      <c r="B54" s="7">
        <v>46268</v>
      </c>
      <c r="C54" t="s">
        <v>92</v>
      </c>
      <c r="D54" t="s">
        <v>95</v>
      </c>
      <c r="E54" t="s">
        <v>107</v>
      </c>
      <c r="F54">
        <v>1</v>
      </c>
      <c r="G54">
        <v>5</v>
      </c>
      <c r="H54">
        <f t="shared" si="0"/>
        <v>5</v>
      </c>
      <c r="I54">
        <v>8.9</v>
      </c>
      <c r="J54">
        <v>0</v>
      </c>
      <c r="K54">
        <f t="shared" si="1"/>
        <v>44.5</v>
      </c>
      <c r="L54" s="2" t="s">
        <v>61</v>
      </c>
      <c r="M54" s="5">
        <v>0.05</v>
      </c>
      <c r="N54">
        <f t="shared" si="2"/>
        <v>9.3450000000000006</v>
      </c>
      <c r="O54" s="3">
        <v>0.1</v>
      </c>
      <c r="P54">
        <f t="shared" si="3"/>
        <v>10.279500000000001</v>
      </c>
      <c r="Q54" s="4">
        <f t="shared" si="4"/>
        <v>11</v>
      </c>
      <c r="R54">
        <v>0</v>
      </c>
      <c r="S54">
        <f t="shared" si="8"/>
        <v>2.0999999999999996</v>
      </c>
      <c r="T54">
        <f>IF(C54="","",InventoryTable[[#This Row],[Profit per Unit]]*InventoryTable[[#This Row],[Total Pieces]])</f>
        <v>10.499999999999998</v>
      </c>
      <c r="U54">
        <f t="shared" si="5"/>
        <v>0</v>
      </c>
      <c r="V54">
        <f>IF(C54="","",H54-InventoryTable[[#This Row],[Units Sold]])</f>
        <v>5</v>
      </c>
      <c r="W54">
        <f t="shared" si="6"/>
        <v>0</v>
      </c>
      <c r="X54">
        <f t="shared" si="7"/>
        <v>0</v>
      </c>
      <c r="Y54" t="str">
        <f>IF(C54="","",IF(InventoryTable[[#This Row],[Stock Balance]]&lt;=0,"Sold Out",IF((InventoryTable[[#This Row],[Stock Balance]]/InventoryTable[[#This Row],[Total Pieces]])&lt;=0.25,"Low on Stocks","Available")))</f>
        <v>Available</v>
      </c>
    </row>
    <row r="55" spans="1:25" x14ac:dyDescent="0.3">
      <c r="A55" t="str">
        <f>IF(C55="","",_xlfn.CONCAT(LEFT(InventoryTable[[#This Row],[Category]],1),InventoryTable[[#This Row],[Product Pricing Type]],ROW()))</f>
        <v>NFM55</v>
      </c>
      <c r="B55" s="7">
        <v>46268</v>
      </c>
      <c r="C55" t="s">
        <v>92</v>
      </c>
      <c r="D55" t="s">
        <v>95</v>
      </c>
      <c r="E55" t="s">
        <v>108</v>
      </c>
      <c r="F55">
        <v>1</v>
      </c>
      <c r="G55">
        <v>9</v>
      </c>
      <c r="H55">
        <f t="shared" si="0"/>
        <v>9</v>
      </c>
      <c r="I55">
        <v>8.6769230769230763</v>
      </c>
      <c r="J55">
        <v>0</v>
      </c>
      <c r="K55">
        <f t="shared" si="1"/>
        <v>78.092307692307685</v>
      </c>
      <c r="L55" s="2" t="s">
        <v>61</v>
      </c>
      <c r="M55" s="5">
        <v>0.05</v>
      </c>
      <c r="N55">
        <f t="shared" si="2"/>
        <v>9.1107692307692307</v>
      </c>
      <c r="O55" s="3">
        <v>0.1</v>
      </c>
      <c r="P55">
        <f t="shared" si="3"/>
        <v>10.021846153846154</v>
      </c>
      <c r="Q55" s="4">
        <f t="shared" si="4"/>
        <v>11</v>
      </c>
      <c r="R55">
        <v>0</v>
      </c>
      <c r="S55">
        <f t="shared" si="8"/>
        <v>2.3230769230769237</v>
      </c>
      <c r="T55">
        <f>IF(C55="","",InventoryTable[[#This Row],[Profit per Unit]]*InventoryTable[[#This Row],[Total Pieces]])</f>
        <v>20.907692307692315</v>
      </c>
      <c r="U55">
        <f t="shared" si="5"/>
        <v>0</v>
      </c>
      <c r="V55">
        <f>IF(C55="","",H55-InventoryTable[[#This Row],[Units Sold]])</f>
        <v>9</v>
      </c>
      <c r="W55">
        <f t="shared" si="6"/>
        <v>0</v>
      </c>
      <c r="X55">
        <f t="shared" si="7"/>
        <v>0</v>
      </c>
      <c r="Y55" t="str">
        <f>IF(C55="","",IF(InventoryTable[[#This Row],[Stock Balance]]&lt;=0,"Sold Out",IF((InventoryTable[[#This Row],[Stock Balance]]/InventoryTable[[#This Row],[Total Pieces]])&lt;=0.25,"Low on Stocks","Available")))</f>
        <v>Available</v>
      </c>
    </row>
    <row r="56" spans="1:25" x14ac:dyDescent="0.3">
      <c r="A56" t="str">
        <f>IF(C56="","",_xlfn.CONCAT(LEFT(InventoryTable[[#This Row],[Category]],1),InventoryTable[[#This Row],[Product Pricing Type]],ROW()))</f>
        <v>NFM56</v>
      </c>
      <c r="B56" s="7">
        <v>46268</v>
      </c>
      <c r="C56" t="s">
        <v>92</v>
      </c>
      <c r="D56" t="s">
        <v>95</v>
      </c>
      <c r="E56" t="s">
        <v>109</v>
      </c>
      <c r="F56">
        <v>1</v>
      </c>
      <c r="G56">
        <v>4</v>
      </c>
      <c r="H56">
        <f t="shared" si="0"/>
        <v>4</v>
      </c>
      <c r="I56">
        <v>8.6769230769230763</v>
      </c>
      <c r="J56">
        <v>0</v>
      </c>
      <c r="K56">
        <f t="shared" si="1"/>
        <v>34.707692307692305</v>
      </c>
      <c r="L56" s="2" t="s">
        <v>61</v>
      </c>
      <c r="M56" s="5">
        <v>0.05</v>
      </c>
      <c r="N56">
        <f t="shared" si="2"/>
        <v>9.1107692307692307</v>
      </c>
      <c r="O56" s="3">
        <v>0.1</v>
      </c>
      <c r="P56">
        <f t="shared" si="3"/>
        <v>10.021846153846154</v>
      </c>
      <c r="Q56" s="4">
        <f t="shared" si="4"/>
        <v>11</v>
      </c>
      <c r="R56">
        <v>0</v>
      </c>
      <c r="S56">
        <f t="shared" si="8"/>
        <v>2.3230769230769237</v>
      </c>
      <c r="T56">
        <f>IF(C56="","",InventoryTable[[#This Row],[Profit per Unit]]*InventoryTable[[#This Row],[Total Pieces]])</f>
        <v>9.2923076923076948</v>
      </c>
      <c r="U56">
        <f t="shared" si="5"/>
        <v>0</v>
      </c>
      <c r="V56">
        <f>IF(C56="","",H56-InventoryTable[[#This Row],[Units Sold]])</f>
        <v>4</v>
      </c>
      <c r="W56">
        <f t="shared" si="6"/>
        <v>0</v>
      </c>
      <c r="X56">
        <f t="shared" si="7"/>
        <v>0</v>
      </c>
      <c r="Y56" t="str">
        <f>IF(C56="","",IF(InventoryTable[[#This Row],[Stock Balance]]&lt;=0,"Sold Out",IF((InventoryTable[[#This Row],[Stock Balance]]/InventoryTable[[#This Row],[Total Pieces]])&lt;=0.25,"Low on Stocks","Available")))</f>
        <v>Available</v>
      </c>
    </row>
    <row r="57" spans="1:25" x14ac:dyDescent="0.3">
      <c r="A57" t="str">
        <f>IF(C57="","",_xlfn.CONCAT(LEFT(InventoryTable[[#This Row],[Category]],1),InventoryTable[[#This Row],[Product Pricing Type]],ROW()))</f>
        <v>MFM57</v>
      </c>
      <c r="B57" s="7">
        <v>46268</v>
      </c>
      <c r="C57" t="s">
        <v>112</v>
      </c>
      <c r="D57" t="s">
        <v>111</v>
      </c>
      <c r="E57" t="s">
        <v>110</v>
      </c>
      <c r="F57">
        <v>1</v>
      </c>
      <c r="G57">
        <v>20</v>
      </c>
      <c r="H57">
        <f t="shared" si="0"/>
        <v>20</v>
      </c>
      <c r="I57">
        <v>5</v>
      </c>
      <c r="J57">
        <v>0</v>
      </c>
      <c r="K57">
        <f t="shared" si="1"/>
        <v>100</v>
      </c>
      <c r="L57" s="2" t="s">
        <v>61</v>
      </c>
      <c r="M57" s="5">
        <v>0.05</v>
      </c>
      <c r="N57">
        <f t="shared" si="2"/>
        <v>5.25</v>
      </c>
      <c r="O57" s="3">
        <v>0.1</v>
      </c>
      <c r="P57">
        <f t="shared" si="3"/>
        <v>5.7750000000000004</v>
      </c>
      <c r="Q57" s="4">
        <f t="shared" si="4"/>
        <v>6</v>
      </c>
      <c r="R57">
        <v>0</v>
      </c>
      <c r="S57">
        <f t="shared" si="8"/>
        <v>1</v>
      </c>
      <c r="T57">
        <f>IF(C57="","",InventoryTable[[#This Row],[Profit per Unit]]*InventoryTable[[#This Row],[Total Pieces]])</f>
        <v>20</v>
      </c>
      <c r="U57">
        <v>1</v>
      </c>
      <c r="V57">
        <f>IF(C57="","",H57-InventoryTable[[#This Row],[Units Sold]])</f>
        <v>19</v>
      </c>
      <c r="W57">
        <f t="shared" si="6"/>
        <v>6</v>
      </c>
      <c r="X57">
        <f t="shared" si="7"/>
        <v>1</v>
      </c>
      <c r="Y57" t="str">
        <f>IF(C57="","",IF(InventoryTable[[#This Row],[Stock Balance]]&lt;=0,"Sold Out",IF((InventoryTable[[#This Row],[Stock Balance]]/InventoryTable[[#This Row],[Total Pieces]])&lt;=0.25,"Low on Stocks","Available")))</f>
        <v>Available</v>
      </c>
    </row>
    <row r="58" spans="1:25" x14ac:dyDescent="0.3">
      <c r="A58" t="str">
        <f>IF(C58="","",_xlfn.CONCAT(LEFT(InventoryTable[[#This Row],[Category]],1),InventoryTable[[#This Row],[Product Pricing Type]],ROW()))</f>
        <v>BFM58</v>
      </c>
      <c r="B58" s="7">
        <v>46268</v>
      </c>
      <c r="C58" t="s">
        <v>116</v>
      </c>
      <c r="D58" t="s">
        <v>113</v>
      </c>
      <c r="E58" t="s">
        <v>114</v>
      </c>
      <c r="F58">
        <v>1</v>
      </c>
      <c r="G58">
        <v>12</v>
      </c>
      <c r="H58">
        <f t="shared" si="0"/>
        <v>12</v>
      </c>
      <c r="I58">
        <v>96</v>
      </c>
      <c r="J58">
        <v>1</v>
      </c>
      <c r="K58">
        <f t="shared" si="1"/>
        <v>8</v>
      </c>
      <c r="L58" s="2" t="s">
        <v>61</v>
      </c>
      <c r="M58" s="5">
        <v>0.05</v>
      </c>
      <c r="N58">
        <f t="shared" si="2"/>
        <v>8.4</v>
      </c>
      <c r="O58" s="3">
        <v>0.05</v>
      </c>
      <c r="P58">
        <f t="shared" si="3"/>
        <v>8.82</v>
      </c>
      <c r="Q58" s="4">
        <f t="shared" si="4"/>
        <v>9</v>
      </c>
      <c r="R58">
        <v>0</v>
      </c>
      <c r="S58">
        <f t="shared" si="8"/>
        <v>1</v>
      </c>
      <c r="T58">
        <f>IF(C58="","",InventoryTable[[#This Row],[Profit per Unit]]*InventoryTable[[#This Row],[Total Pieces]])</f>
        <v>12</v>
      </c>
      <c r="U58">
        <f t="shared" si="5"/>
        <v>0</v>
      </c>
      <c r="V58">
        <f>IF(C58="","",H58-InventoryTable[[#This Row],[Units Sold]])</f>
        <v>12</v>
      </c>
      <c r="W58">
        <f t="shared" si="6"/>
        <v>0</v>
      </c>
      <c r="X58">
        <f t="shared" si="7"/>
        <v>0</v>
      </c>
      <c r="Y58" t="str">
        <f>IF(C58="","",IF(InventoryTable[[#This Row],[Stock Balance]]&lt;=0,"Sold Out",IF((InventoryTable[[#This Row],[Stock Balance]]/InventoryTable[[#This Row],[Total Pieces]])&lt;=0.25,"Low on Stocks","Available")))</f>
        <v>Available</v>
      </c>
    </row>
    <row r="59" spans="1:25" x14ac:dyDescent="0.3">
      <c r="A59" t="str">
        <f>IF(C59="","",_xlfn.CONCAT(LEFT(InventoryTable[[#This Row],[Category]],1),InventoryTable[[#This Row],[Product Pricing Type]],ROW()))</f>
        <v>BFM59</v>
      </c>
      <c r="B59" s="7">
        <v>46268</v>
      </c>
      <c r="C59" t="s">
        <v>116</v>
      </c>
      <c r="D59" t="s">
        <v>113</v>
      </c>
      <c r="E59" t="s">
        <v>117</v>
      </c>
      <c r="F59">
        <v>1</v>
      </c>
      <c r="G59">
        <v>10</v>
      </c>
      <c r="H59">
        <f t="shared" si="0"/>
        <v>10</v>
      </c>
      <c r="I59">
        <v>80</v>
      </c>
      <c r="J59">
        <v>1</v>
      </c>
      <c r="K59">
        <f t="shared" si="1"/>
        <v>8</v>
      </c>
      <c r="L59" s="2" t="s">
        <v>61</v>
      </c>
      <c r="M59" s="5">
        <v>0.05</v>
      </c>
      <c r="N59">
        <f t="shared" si="2"/>
        <v>8.4</v>
      </c>
      <c r="O59" s="3">
        <v>0.05</v>
      </c>
      <c r="P59">
        <f t="shared" si="3"/>
        <v>8.82</v>
      </c>
      <c r="Q59" s="4">
        <f t="shared" si="4"/>
        <v>9</v>
      </c>
      <c r="R59">
        <v>0</v>
      </c>
      <c r="S59">
        <f t="shared" si="8"/>
        <v>1</v>
      </c>
      <c r="T59">
        <f>IF(C59="","",InventoryTable[[#This Row],[Profit per Unit]]*InventoryTable[[#This Row],[Total Pieces]])</f>
        <v>10</v>
      </c>
      <c r="U59">
        <f t="shared" si="5"/>
        <v>0</v>
      </c>
      <c r="V59">
        <f>IF(C59="","",H59-InventoryTable[[#This Row],[Units Sold]])</f>
        <v>10</v>
      </c>
      <c r="W59">
        <f t="shared" si="6"/>
        <v>0</v>
      </c>
      <c r="X59">
        <f t="shared" si="7"/>
        <v>0</v>
      </c>
      <c r="Y59" t="str">
        <f>IF(C59="","",IF(InventoryTable[[#This Row],[Stock Balance]]&lt;=0,"Sold Out",IF((InventoryTable[[#This Row],[Stock Balance]]/InventoryTable[[#This Row],[Total Pieces]])&lt;=0.25,"Low on Stocks","Available")))</f>
        <v>Available</v>
      </c>
    </row>
    <row r="60" spans="1:25" x14ac:dyDescent="0.3">
      <c r="A60" t="str">
        <f>IF(C60="","",_xlfn.CONCAT(LEFT(InventoryTable[[#This Row],[Category]],1),InventoryTable[[#This Row],[Product Pricing Type]],ROW()))</f>
        <v>SFM60</v>
      </c>
      <c r="B60" s="7">
        <v>46268</v>
      </c>
      <c r="C60" t="s">
        <v>118</v>
      </c>
      <c r="D60" t="s">
        <v>119</v>
      </c>
      <c r="E60" t="s">
        <v>120</v>
      </c>
      <c r="F60">
        <v>1</v>
      </c>
      <c r="G60">
        <v>3</v>
      </c>
      <c r="H60">
        <f t="shared" si="0"/>
        <v>3</v>
      </c>
      <c r="I60">
        <v>6.5</v>
      </c>
      <c r="J60">
        <v>0</v>
      </c>
      <c r="K60">
        <f t="shared" si="1"/>
        <v>19.5</v>
      </c>
      <c r="L60" s="2" t="s">
        <v>61</v>
      </c>
      <c r="M60" s="5">
        <v>0.05</v>
      </c>
      <c r="N60">
        <f t="shared" si="2"/>
        <v>6.8250000000000002</v>
      </c>
      <c r="O60" s="3">
        <v>0.1</v>
      </c>
      <c r="P60">
        <f t="shared" si="3"/>
        <v>7.5075000000000003</v>
      </c>
      <c r="Q60" s="4">
        <f t="shared" si="4"/>
        <v>8</v>
      </c>
      <c r="R60">
        <v>0</v>
      </c>
      <c r="S60">
        <f t="shared" si="8"/>
        <v>1.5</v>
      </c>
      <c r="T60">
        <f>IF(C60="","",InventoryTable[[#This Row],[Profit per Unit]]*InventoryTable[[#This Row],[Total Pieces]])</f>
        <v>4.5</v>
      </c>
      <c r="U60">
        <f t="shared" si="5"/>
        <v>0</v>
      </c>
      <c r="V60">
        <f>IF(C60="","",H60-InventoryTable[[#This Row],[Units Sold]])</f>
        <v>3</v>
      </c>
      <c r="W60">
        <f t="shared" si="6"/>
        <v>0</v>
      </c>
      <c r="X60">
        <f t="shared" si="7"/>
        <v>0</v>
      </c>
      <c r="Y60" t="str">
        <f>IF(C60="","",IF(InventoryTable[[#This Row],[Stock Balance]]&lt;=0,"Sold Out",IF((InventoryTable[[#This Row],[Stock Balance]]/InventoryTable[[#This Row],[Total Pieces]])&lt;=0.25,"Low on Stocks","Available")))</f>
        <v>Available</v>
      </c>
    </row>
    <row r="61" spans="1:25" x14ac:dyDescent="0.3">
      <c r="A61" t="str">
        <f>IF(C61="","",_xlfn.CONCAT(LEFT(InventoryTable[[#This Row],[Category]],1),InventoryTable[[#This Row],[Product Pricing Type]],ROW()))</f>
        <v>SFM61</v>
      </c>
      <c r="B61" s="7">
        <v>46268</v>
      </c>
      <c r="C61" t="s">
        <v>118</v>
      </c>
      <c r="D61" t="s">
        <v>121</v>
      </c>
      <c r="E61" t="s">
        <v>122</v>
      </c>
      <c r="F61">
        <v>1</v>
      </c>
      <c r="G61">
        <v>3</v>
      </c>
      <c r="H61">
        <f t="shared" si="0"/>
        <v>3</v>
      </c>
      <c r="I61">
        <v>16.3</v>
      </c>
      <c r="J61">
        <v>0</v>
      </c>
      <c r="K61">
        <f t="shared" si="1"/>
        <v>48.900000000000006</v>
      </c>
      <c r="L61" s="2" t="s">
        <v>61</v>
      </c>
      <c r="M61" s="5">
        <v>0.05</v>
      </c>
      <c r="N61">
        <f t="shared" si="2"/>
        <v>17.115000000000002</v>
      </c>
      <c r="O61" s="3">
        <v>0.05</v>
      </c>
      <c r="P61">
        <f t="shared" si="3"/>
        <v>17.970750000000002</v>
      </c>
      <c r="Q61" s="4">
        <f t="shared" si="4"/>
        <v>18</v>
      </c>
      <c r="R61">
        <v>0</v>
      </c>
      <c r="S61">
        <f t="shared" si="8"/>
        <v>1.6999999999999993</v>
      </c>
      <c r="T61">
        <f>IF(C61="","",InventoryTable[[#This Row],[Profit per Unit]]*InventoryTable[[#This Row],[Total Pieces]])</f>
        <v>5.0999999999999979</v>
      </c>
      <c r="U61">
        <f t="shared" si="5"/>
        <v>0</v>
      </c>
      <c r="V61">
        <f>IF(C61="","",H61-InventoryTable[[#This Row],[Units Sold]])</f>
        <v>3</v>
      </c>
      <c r="W61">
        <f t="shared" si="6"/>
        <v>0</v>
      </c>
      <c r="X61">
        <f t="shared" si="7"/>
        <v>0</v>
      </c>
      <c r="Y61" t="str">
        <f>IF(C61="","",IF(InventoryTable[[#This Row],[Stock Balance]]&lt;=0,"Sold Out",IF((InventoryTable[[#This Row],[Stock Balance]]/InventoryTable[[#This Row],[Total Pieces]])&lt;=0.25,"Low on Stocks","Available")))</f>
        <v>Available</v>
      </c>
    </row>
    <row r="62" spans="1:25" x14ac:dyDescent="0.3">
      <c r="A62" t="str">
        <f>IF(C62="","",_xlfn.CONCAT(LEFT(InventoryTable[[#This Row],[Category]],1),InventoryTable[[#This Row],[Product Pricing Type]],ROW()))</f>
        <v>SFM62</v>
      </c>
      <c r="B62" s="7">
        <v>46268</v>
      </c>
      <c r="C62" t="s">
        <v>118</v>
      </c>
      <c r="D62" t="s">
        <v>119</v>
      </c>
      <c r="E62" t="s">
        <v>123</v>
      </c>
      <c r="F62">
        <v>1</v>
      </c>
      <c r="G62">
        <v>3</v>
      </c>
      <c r="H62">
        <f t="shared" si="0"/>
        <v>3</v>
      </c>
      <c r="I62">
        <v>6.5</v>
      </c>
      <c r="J62">
        <v>0</v>
      </c>
      <c r="K62">
        <f t="shared" si="1"/>
        <v>19.5</v>
      </c>
      <c r="L62" s="2" t="s">
        <v>61</v>
      </c>
      <c r="M62" s="5">
        <v>0.05</v>
      </c>
      <c r="N62">
        <f t="shared" si="2"/>
        <v>6.8250000000000002</v>
      </c>
      <c r="O62" s="3">
        <v>0.1</v>
      </c>
      <c r="P62">
        <f t="shared" si="3"/>
        <v>7.5075000000000003</v>
      </c>
      <c r="Q62" s="4">
        <f t="shared" si="4"/>
        <v>8</v>
      </c>
      <c r="R62">
        <v>0</v>
      </c>
      <c r="S62">
        <f t="shared" si="8"/>
        <v>1.5</v>
      </c>
      <c r="T62">
        <f>IF(C62="","",InventoryTable[[#This Row],[Profit per Unit]]*InventoryTable[[#This Row],[Total Pieces]])</f>
        <v>4.5</v>
      </c>
      <c r="U62">
        <f t="shared" si="5"/>
        <v>0</v>
      </c>
      <c r="V62">
        <f>IF(C62="","",H62-InventoryTable[[#This Row],[Units Sold]])</f>
        <v>3</v>
      </c>
      <c r="W62">
        <f t="shared" si="6"/>
        <v>0</v>
      </c>
      <c r="X62">
        <f t="shared" si="7"/>
        <v>0</v>
      </c>
      <c r="Y62" t="str">
        <f>IF(C62="","",IF(InventoryTable[[#This Row],[Stock Balance]]&lt;=0,"Sold Out",IF((InventoryTable[[#This Row],[Stock Balance]]/InventoryTable[[#This Row],[Total Pieces]])&lt;=0.25,"Low on Stocks","Available")))</f>
        <v>Available</v>
      </c>
    </row>
    <row r="63" spans="1:25" x14ac:dyDescent="0.3">
      <c r="A63" t="str">
        <f>IF(C63="","",_xlfn.CONCAT(LEFT(InventoryTable[[#This Row],[Category]],1),InventoryTable[[#This Row],[Product Pricing Type]],ROW()))</f>
        <v>SFM63</v>
      </c>
      <c r="B63" s="7">
        <v>46268</v>
      </c>
      <c r="C63" t="s">
        <v>118</v>
      </c>
      <c r="D63" t="s">
        <v>124</v>
      </c>
      <c r="E63" t="s">
        <v>125</v>
      </c>
      <c r="F63">
        <v>1</v>
      </c>
      <c r="G63">
        <v>3</v>
      </c>
      <c r="H63">
        <f t="shared" si="0"/>
        <v>3</v>
      </c>
      <c r="I63">
        <v>7.4</v>
      </c>
      <c r="J63">
        <v>0</v>
      </c>
      <c r="K63">
        <f t="shared" si="1"/>
        <v>22.200000000000003</v>
      </c>
      <c r="L63" s="2" t="s">
        <v>61</v>
      </c>
      <c r="M63" s="5">
        <v>0.05</v>
      </c>
      <c r="N63">
        <f t="shared" si="2"/>
        <v>7.7700000000000005</v>
      </c>
      <c r="O63" s="3">
        <v>0.1</v>
      </c>
      <c r="P63">
        <f t="shared" si="3"/>
        <v>8.5470000000000006</v>
      </c>
      <c r="Q63" s="4">
        <f t="shared" si="4"/>
        <v>9</v>
      </c>
      <c r="R63">
        <v>0</v>
      </c>
      <c r="S63">
        <f t="shared" si="8"/>
        <v>1.5999999999999996</v>
      </c>
      <c r="T63">
        <f>IF(C63="","",InventoryTable[[#This Row],[Profit per Unit]]*InventoryTable[[#This Row],[Total Pieces]])</f>
        <v>4.7999999999999989</v>
      </c>
      <c r="U63">
        <v>1</v>
      </c>
      <c r="V63">
        <f>IF(C63="","",H63-InventoryTable[[#This Row],[Units Sold]])</f>
        <v>2</v>
      </c>
      <c r="W63">
        <f t="shared" si="6"/>
        <v>9</v>
      </c>
      <c r="X63">
        <f t="shared" si="7"/>
        <v>1.5999999999999996</v>
      </c>
      <c r="Y63" t="str">
        <f>IF(C63="","",IF(InventoryTable[[#This Row],[Stock Balance]]&lt;=0,"Sold Out",IF((InventoryTable[[#This Row],[Stock Balance]]/InventoryTable[[#This Row],[Total Pieces]])&lt;=0.25,"Low on Stocks","Available")))</f>
        <v>Available</v>
      </c>
    </row>
    <row r="64" spans="1:25" x14ac:dyDescent="0.3">
      <c r="A64" t="str">
        <f>IF(C64="","",_xlfn.CONCAT(LEFT(InventoryTable[[#This Row],[Category]],1),InventoryTable[[#This Row],[Product Pricing Type]],ROW()))</f>
        <v>SFM64</v>
      </c>
      <c r="B64" s="7">
        <v>46268</v>
      </c>
      <c r="C64" t="s">
        <v>118</v>
      </c>
      <c r="D64" t="s">
        <v>126</v>
      </c>
      <c r="E64" t="s">
        <v>127</v>
      </c>
      <c r="F64">
        <v>1</v>
      </c>
      <c r="G64">
        <v>3</v>
      </c>
      <c r="H64">
        <f t="shared" si="0"/>
        <v>3</v>
      </c>
      <c r="I64">
        <v>8.75</v>
      </c>
      <c r="J64">
        <v>0</v>
      </c>
      <c r="K64">
        <f t="shared" si="1"/>
        <v>26.25</v>
      </c>
      <c r="L64" s="2" t="s">
        <v>61</v>
      </c>
      <c r="M64" s="5">
        <v>0.05</v>
      </c>
      <c r="N64">
        <f t="shared" si="2"/>
        <v>9.1875</v>
      </c>
      <c r="O64" s="3">
        <v>0.05</v>
      </c>
      <c r="P64">
        <f t="shared" si="3"/>
        <v>9.6468749999999996</v>
      </c>
      <c r="Q64" s="4">
        <f t="shared" si="4"/>
        <v>10</v>
      </c>
      <c r="R64">
        <v>0</v>
      </c>
      <c r="S64">
        <f t="shared" si="8"/>
        <v>1.25</v>
      </c>
      <c r="T64">
        <f>IF(C64="","",InventoryTable[[#This Row],[Profit per Unit]]*InventoryTable[[#This Row],[Total Pieces]])</f>
        <v>3.75</v>
      </c>
      <c r="U64">
        <f t="shared" si="5"/>
        <v>0</v>
      </c>
      <c r="V64">
        <f>IF(C64="","",H64-InventoryTable[[#This Row],[Units Sold]])</f>
        <v>3</v>
      </c>
      <c r="W64">
        <f t="shared" si="6"/>
        <v>0</v>
      </c>
      <c r="X64">
        <f t="shared" si="7"/>
        <v>0</v>
      </c>
      <c r="Y64" t="str">
        <f>IF(C64="","",IF(InventoryTable[[#This Row],[Stock Balance]]&lt;=0,"Sold Out",IF((InventoryTable[[#This Row],[Stock Balance]]/InventoryTable[[#This Row],[Total Pieces]])&lt;=0.25,"Low on Stocks","Available")))</f>
        <v>Available</v>
      </c>
    </row>
    <row r="65" spans="1:25" x14ac:dyDescent="0.3">
      <c r="A65" t="str">
        <f>IF(C65="","",_xlfn.CONCAT(LEFT(InventoryTable[[#This Row],[Category]],1),InventoryTable[[#This Row],[Product Pricing Type]],ROW()))</f>
        <v>SFM65</v>
      </c>
      <c r="B65" s="7">
        <v>46268</v>
      </c>
      <c r="C65" t="s">
        <v>118</v>
      </c>
      <c r="D65" t="s">
        <v>128</v>
      </c>
      <c r="E65" t="s">
        <v>129</v>
      </c>
      <c r="F65">
        <v>1</v>
      </c>
      <c r="G65">
        <v>3</v>
      </c>
      <c r="H65">
        <f t="shared" si="0"/>
        <v>3</v>
      </c>
      <c r="I65">
        <v>7.4</v>
      </c>
      <c r="J65">
        <v>0</v>
      </c>
      <c r="K65">
        <f t="shared" si="1"/>
        <v>22.200000000000003</v>
      </c>
      <c r="L65" s="2" t="s">
        <v>61</v>
      </c>
      <c r="M65" s="5">
        <v>0.05</v>
      </c>
      <c r="N65">
        <f t="shared" si="2"/>
        <v>7.7700000000000005</v>
      </c>
      <c r="O65" s="3">
        <v>0.1</v>
      </c>
      <c r="P65">
        <f t="shared" si="3"/>
        <v>8.5470000000000006</v>
      </c>
      <c r="Q65" s="4">
        <f t="shared" si="4"/>
        <v>9</v>
      </c>
      <c r="R65">
        <v>0</v>
      </c>
      <c r="S65">
        <f t="shared" si="8"/>
        <v>1.5999999999999996</v>
      </c>
      <c r="T65">
        <f>IF(C65="","",InventoryTable[[#This Row],[Profit per Unit]]*InventoryTable[[#This Row],[Total Pieces]])</f>
        <v>4.7999999999999989</v>
      </c>
      <c r="U65">
        <f t="shared" si="5"/>
        <v>0</v>
      </c>
      <c r="V65">
        <f>IF(C65="","",H65-InventoryTable[[#This Row],[Units Sold]])</f>
        <v>3</v>
      </c>
      <c r="W65">
        <f t="shared" si="6"/>
        <v>0</v>
      </c>
      <c r="X65">
        <f t="shared" si="7"/>
        <v>0</v>
      </c>
      <c r="Y65" t="str">
        <f>IF(C65="","",IF(InventoryTable[[#This Row],[Stock Balance]]&lt;=0,"Sold Out",IF((InventoryTable[[#This Row],[Stock Balance]]/InventoryTable[[#This Row],[Total Pieces]])&lt;=0.25,"Low on Stocks","Available")))</f>
        <v>Available</v>
      </c>
    </row>
    <row r="66" spans="1:25" x14ac:dyDescent="0.3">
      <c r="A66" t="str">
        <f>IF(C66="","",_xlfn.CONCAT(LEFT(InventoryTable[[#This Row],[Category]],1),InventoryTable[[#This Row],[Product Pricing Type]],ROW()))</f>
        <v>SFM66</v>
      </c>
      <c r="B66" s="7">
        <v>46268</v>
      </c>
      <c r="C66" t="s">
        <v>118</v>
      </c>
      <c r="D66" t="s">
        <v>130</v>
      </c>
      <c r="E66" t="s">
        <v>131</v>
      </c>
      <c r="F66">
        <v>1</v>
      </c>
      <c r="G66">
        <v>4</v>
      </c>
      <c r="H66">
        <f t="shared" ref="H66:H129" si="9">IF(C66="","",G66*F66)</f>
        <v>4</v>
      </c>
      <c r="I66">
        <v>8.5500000000000007</v>
      </c>
      <c r="J66">
        <v>0</v>
      </c>
      <c r="K66">
        <f t="shared" ref="K66:K129" si="10">IF(C66="","",IF(J66=1,I66/H66,I66*G66*F66))</f>
        <v>34.200000000000003</v>
      </c>
      <c r="L66" s="2" t="s">
        <v>61</v>
      </c>
      <c r="M66" s="5">
        <v>0.05</v>
      </c>
      <c r="N66">
        <f t="shared" ref="N66:N129" si="11">IF(C66="","",IF(J66=1,K66+(K66*M66),I66+(I66*M66)))</f>
        <v>8.9775000000000009</v>
      </c>
      <c r="O66" s="3">
        <v>0.1</v>
      </c>
      <c r="P66">
        <f t="shared" ref="P66:P129" si="12">IF(C66="","",N66+(N66*O66))</f>
        <v>9.8752500000000012</v>
      </c>
      <c r="Q66" s="4">
        <f t="shared" ref="Q66:Q129" si="13">IF(C66="","",ROUNDUP(P66,0))</f>
        <v>10</v>
      </c>
      <c r="R66">
        <v>0</v>
      </c>
      <c r="S66">
        <f t="shared" ref="S66:S129" si="14">IF(C66="","",IF(COUNTIF(C66,"*Fixed*")&gt;0,(K66-R66)/H66,IF(J66=1,Q66-K66,Q66-I66)))</f>
        <v>1.4499999999999993</v>
      </c>
      <c r="T66">
        <f>IF(C66="","",InventoryTable[[#This Row],[Profit per Unit]]*InventoryTable[[#This Row],[Total Pieces]])</f>
        <v>5.7999999999999972</v>
      </c>
      <c r="U66">
        <v>2</v>
      </c>
      <c r="V66">
        <f>IF(C66="","",H66-InventoryTable[[#This Row],[Units Sold]])</f>
        <v>2</v>
      </c>
      <c r="W66">
        <f t="shared" ref="W66:W129" si="15">IF(C66="","",Q66*U66)</f>
        <v>20</v>
      </c>
      <c r="X66">
        <f t="shared" ref="X66:X129" si="16">IF(C66="","",S66*U66)</f>
        <v>2.8999999999999986</v>
      </c>
      <c r="Y66" t="str">
        <f>IF(C66="","",IF(InventoryTable[[#This Row],[Stock Balance]]&lt;=0,"Sold Out",IF((InventoryTable[[#This Row],[Stock Balance]]/InventoryTable[[#This Row],[Total Pieces]])&lt;=0.25,"Low on Stocks","Available")))</f>
        <v>Available</v>
      </c>
    </row>
    <row r="67" spans="1:25" x14ac:dyDescent="0.3">
      <c r="A67" t="str">
        <f>IF(C67="","",_xlfn.CONCAT(LEFT(InventoryTable[[#This Row],[Category]],1),InventoryTable[[#This Row],[Product Pricing Type]],ROW()))</f>
        <v>SFM67</v>
      </c>
      <c r="B67" s="7">
        <v>46268</v>
      </c>
      <c r="C67" t="s">
        <v>118</v>
      </c>
      <c r="D67" t="s">
        <v>128</v>
      </c>
      <c r="E67" t="s">
        <v>132</v>
      </c>
      <c r="F67">
        <v>1</v>
      </c>
      <c r="G67">
        <v>3</v>
      </c>
      <c r="H67">
        <f t="shared" si="9"/>
        <v>3</v>
      </c>
      <c r="I67">
        <v>7.4</v>
      </c>
      <c r="J67">
        <v>0</v>
      </c>
      <c r="K67">
        <f t="shared" si="10"/>
        <v>22.200000000000003</v>
      </c>
      <c r="L67" s="2" t="s">
        <v>61</v>
      </c>
      <c r="M67" s="5">
        <v>0.05</v>
      </c>
      <c r="N67">
        <f t="shared" si="11"/>
        <v>7.7700000000000005</v>
      </c>
      <c r="O67" s="3">
        <v>0.1</v>
      </c>
      <c r="P67">
        <f t="shared" si="12"/>
        <v>8.5470000000000006</v>
      </c>
      <c r="Q67" s="4">
        <f t="shared" si="13"/>
        <v>9</v>
      </c>
      <c r="R67">
        <v>0</v>
      </c>
      <c r="S67">
        <f t="shared" si="14"/>
        <v>1.5999999999999996</v>
      </c>
      <c r="T67">
        <f>IF(C67="","",InventoryTable[[#This Row],[Profit per Unit]]*InventoryTable[[#This Row],[Total Pieces]])</f>
        <v>4.7999999999999989</v>
      </c>
      <c r="U67">
        <f t="shared" ref="U67:U129" si="17">IF(C67="","",0)</f>
        <v>0</v>
      </c>
      <c r="V67">
        <f>IF(C67="","",H67-InventoryTable[[#This Row],[Units Sold]])</f>
        <v>3</v>
      </c>
      <c r="W67">
        <f t="shared" si="15"/>
        <v>0</v>
      </c>
      <c r="X67">
        <f t="shared" si="16"/>
        <v>0</v>
      </c>
      <c r="Y67" t="str">
        <f>IF(C67="","",IF(InventoryTable[[#This Row],[Stock Balance]]&lt;=0,"Sold Out",IF((InventoryTable[[#This Row],[Stock Balance]]/InventoryTable[[#This Row],[Total Pieces]])&lt;=0.25,"Low on Stocks","Available")))</f>
        <v>Available</v>
      </c>
    </row>
    <row r="68" spans="1:25" x14ac:dyDescent="0.3">
      <c r="A68" t="str">
        <f>IF(C68="","",_xlfn.CONCAT(LEFT(InventoryTable[[#This Row],[Category]],1),InventoryTable[[#This Row],[Product Pricing Type]],ROW()))</f>
        <v>SFM68</v>
      </c>
      <c r="B68" s="7">
        <v>46268</v>
      </c>
      <c r="C68" t="s">
        <v>118</v>
      </c>
      <c r="D68" t="s">
        <v>133</v>
      </c>
      <c r="E68" t="s">
        <v>134</v>
      </c>
      <c r="F68">
        <v>1</v>
      </c>
      <c r="G68">
        <v>2</v>
      </c>
      <c r="H68">
        <f t="shared" si="9"/>
        <v>2</v>
      </c>
      <c r="I68">
        <v>16</v>
      </c>
      <c r="J68">
        <v>0</v>
      </c>
      <c r="K68">
        <f t="shared" si="10"/>
        <v>32</v>
      </c>
      <c r="L68" s="2" t="s">
        <v>61</v>
      </c>
      <c r="M68" s="5">
        <v>0.05</v>
      </c>
      <c r="N68">
        <f t="shared" si="11"/>
        <v>16.8</v>
      </c>
      <c r="O68" s="3">
        <v>0.01</v>
      </c>
      <c r="P68">
        <f t="shared" si="12"/>
        <v>16.968</v>
      </c>
      <c r="Q68" s="4">
        <f t="shared" si="13"/>
        <v>17</v>
      </c>
      <c r="R68">
        <v>0</v>
      </c>
      <c r="S68">
        <f t="shared" si="14"/>
        <v>1</v>
      </c>
      <c r="T68">
        <f>IF(C68="","",InventoryTable[[#This Row],[Profit per Unit]]*InventoryTable[[#This Row],[Total Pieces]])</f>
        <v>2</v>
      </c>
      <c r="U68">
        <f t="shared" si="17"/>
        <v>0</v>
      </c>
      <c r="V68">
        <f>IF(C68="","",H68-InventoryTable[[#This Row],[Units Sold]])</f>
        <v>2</v>
      </c>
      <c r="W68">
        <f t="shared" si="15"/>
        <v>0</v>
      </c>
      <c r="X68">
        <f t="shared" si="16"/>
        <v>0</v>
      </c>
      <c r="Y68" t="str">
        <f>IF(C68="","",IF(InventoryTable[[#This Row],[Stock Balance]]&lt;=0,"Sold Out",IF((InventoryTable[[#This Row],[Stock Balance]]/InventoryTable[[#This Row],[Total Pieces]])&lt;=0.25,"Low on Stocks","Available")))</f>
        <v>Available</v>
      </c>
    </row>
    <row r="69" spans="1:25" x14ac:dyDescent="0.3">
      <c r="A69" t="str">
        <f>IF(C69="","",_xlfn.CONCAT(LEFT(InventoryTable[[#This Row],[Category]],1),InventoryTable[[#This Row],[Product Pricing Type]],ROW()))</f>
        <v>SFM69</v>
      </c>
      <c r="B69" s="7">
        <v>46268</v>
      </c>
      <c r="C69" t="s">
        <v>118</v>
      </c>
      <c r="D69" t="s">
        <v>133</v>
      </c>
      <c r="E69" t="s">
        <v>135</v>
      </c>
      <c r="F69">
        <v>1</v>
      </c>
      <c r="G69">
        <v>4</v>
      </c>
      <c r="H69">
        <f t="shared" si="9"/>
        <v>4</v>
      </c>
      <c r="I69">
        <v>8</v>
      </c>
      <c r="J69">
        <v>0</v>
      </c>
      <c r="K69">
        <f t="shared" si="10"/>
        <v>32</v>
      </c>
      <c r="L69" s="2" t="s">
        <v>61</v>
      </c>
      <c r="M69" s="5">
        <v>0.05</v>
      </c>
      <c r="N69">
        <f t="shared" si="11"/>
        <v>8.4</v>
      </c>
      <c r="O69" s="3">
        <v>0.05</v>
      </c>
      <c r="P69">
        <f t="shared" si="12"/>
        <v>8.82</v>
      </c>
      <c r="Q69" s="4">
        <f t="shared" si="13"/>
        <v>9</v>
      </c>
      <c r="R69">
        <v>0</v>
      </c>
      <c r="S69">
        <f t="shared" si="14"/>
        <v>1</v>
      </c>
      <c r="T69">
        <f>IF(C69="","",InventoryTable[[#This Row],[Profit per Unit]]*InventoryTable[[#This Row],[Total Pieces]])</f>
        <v>4</v>
      </c>
      <c r="U69">
        <f t="shared" si="17"/>
        <v>0</v>
      </c>
      <c r="V69">
        <f>IF(C69="","",H69-InventoryTable[[#This Row],[Units Sold]])</f>
        <v>4</v>
      </c>
      <c r="W69">
        <f t="shared" si="15"/>
        <v>0</v>
      </c>
      <c r="X69">
        <f t="shared" si="16"/>
        <v>0</v>
      </c>
      <c r="Y69" t="str">
        <f>IF(C69="","",IF(InventoryTable[[#This Row],[Stock Balance]]&lt;=0,"Sold Out",IF((InventoryTable[[#This Row],[Stock Balance]]/InventoryTable[[#This Row],[Total Pieces]])&lt;=0.25,"Low on Stocks","Available")))</f>
        <v>Available</v>
      </c>
    </row>
    <row r="70" spans="1:25" x14ac:dyDescent="0.3">
      <c r="A70" t="str">
        <f>IF(C70="","",_xlfn.CONCAT(LEFT(InventoryTable[[#This Row],[Category]],1),InventoryTable[[#This Row],[Product Pricing Type]],ROW()))</f>
        <v>SFM70</v>
      </c>
      <c r="B70" s="7">
        <v>46268</v>
      </c>
      <c r="C70" t="s">
        <v>118</v>
      </c>
      <c r="D70" t="s">
        <v>136</v>
      </c>
      <c r="E70" t="s">
        <v>137</v>
      </c>
      <c r="F70">
        <v>1</v>
      </c>
      <c r="G70">
        <v>6</v>
      </c>
      <c r="H70">
        <f t="shared" si="9"/>
        <v>6</v>
      </c>
      <c r="I70">
        <v>7.95</v>
      </c>
      <c r="J70">
        <v>0</v>
      </c>
      <c r="K70">
        <f t="shared" si="10"/>
        <v>47.7</v>
      </c>
      <c r="L70" s="2" t="s">
        <v>61</v>
      </c>
      <c r="M70" s="5">
        <v>0.05</v>
      </c>
      <c r="N70">
        <f t="shared" si="11"/>
        <v>8.3475000000000001</v>
      </c>
      <c r="O70" s="3">
        <v>0.05</v>
      </c>
      <c r="P70">
        <f t="shared" si="12"/>
        <v>8.764875</v>
      </c>
      <c r="Q70" s="4">
        <f t="shared" si="13"/>
        <v>9</v>
      </c>
      <c r="R70">
        <v>0</v>
      </c>
      <c r="S70">
        <f t="shared" si="14"/>
        <v>1.0499999999999998</v>
      </c>
      <c r="T70">
        <f>IF(C70="","",InventoryTable[[#This Row],[Profit per Unit]]*InventoryTable[[#This Row],[Total Pieces]])</f>
        <v>6.2999999999999989</v>
      </c>
      <c r="U70">
        <v>1</v>
      </c>
      <c r="V70">
        <f>IF(C70="","",H70-InventoryTable[[#This Row],[Units Sold]])</f>
        <v>5</v>
      </c>
      <c r="W70">
        <f t="shared" si="15"/>
        <v>9</v>
      </c>
      <c r="X70">
        <f t="shared" si="16"/>
        <v>1.0499999999999998</v>
      </c>
      <c r="Y70" t="str">
        <f>IF(C70="","",IF(InventoryTable[[#This Row],[Stock Balance]]&lt;=0,"Sold Out",IF((InventoryTable[[#This Row],[Stock Balance]]/InventoryTable[[#This Row],[Total Pieces]])&lt;=0.25,"Low on Stocks","Available")))</f>
        <v>Available</v>
      </c>
    </row>
    <row r="71" spans="1:25" x14ac:dyDescent="0.3">
      <c r="A71" t="str">
        <f>IF(C71="","",_xlfn.CONCAT(LEFT(InventoryTable[[#This Row],[Category]],1),InventoryTable[[#This Row],[Product Pricing Type]],ROW()))</f>
        <v>SFM71</v>
      </c>
      <c r="B71" s="7">
        <v>46268</v>
      </c>
      <c r="C71" t="s">
        <v>118</v>
      </c>
      <c r="D71" t="s">
        <v>133</v>
      </c>
      <c r="E71" t="s">
        <v>138</v>
      </c>
      <c r="F71">
        <v>1</v>
      </c>
      <c r="G71">
        <v>4</v>
      </c>
      <c r="H71">
        <f t="shared" si="9"/>
        <v>4</v>
      </c>
      <c r="I71">
        <v>8</v>
      </c>
      <c r="J71">
        <v>0</v>
      </c>
      <c r="K71">
        <f t="shared" si="10"/>
        <v>32</v>
      </c>
      <c r="L71" s="2" t="s">
        <v>61</v>
      </c>
      <c r="M71" s="5">
        <v>0.05</v>
      </c>
      <c r="N71">
        <f t="shared" si="11"/>
        <v>8.4</v>
      </c>
      <c r="O71" s="3">
        <v>0.05</v>
      </c>
      <c r="P71">
        <f t="shared" si="12"/>
        <v>8.82</v>
      </c>
      <c r="Q71" s="4">
        <f t="shared" si="13"/>
        <v>9</v>
      </c>
      <c r="R71">
        <v>0</v>
      </c>
      <c r="S71">
        <f t="shared" si="14"/>
        <v>1</v>
      </c>
      <c r="T71">
        <f>IF(C71="","",InventoryTable[[#This Row],[Profit per Unit]]*InventoryTable[[#This Row],[Total Pieces]])</f>
        <v>4</v>
      </c>
      <c r="U71">
        <f t="shared" si="17"/>
        <v>0</v>
      </c>
      <c r="V71">
        <f>IF(C71="","",H71-InventoryTable[[#This Row],[Units Sold]])</f>
        <v>4</v>
      </c>
      <c r="W71">
        <f t="shared" si="15"/>
        <v>0</v>
      </c>
      <c r="X71">
        <f t="shared" si="16"/>
        <v>0</v>
      </c>
      <c r="Y71" t="str">
        <f>IF(C71="","",IF(InventoryTable[[#This Row],[Stock Balance]]&lt;=0,"Sold Out",IF((InventoryTable[[#This Row],[Stock Balance]]/InventoryTable[[#This Row],[Total Pieces]])&lt;=0.25,"Low on Stocks","Available")))</f>
        <v>Available</v>
      </c>
    </row>
    <row r="72" spans="1:25" x14ac:dyDescent="0.3">
      <c r="A72" t="str">
        <f>IF(C72="","",_xlfn.CONCAT(LEFT(InventoryTable[[#This Row],[Category]],1),InventoryTable[[#This Row],[Product Pricing Type]],ROW()))</f>
        <v>SFM72</v>
      </c>
      <c r="B72" s="7">
        <v>46268</v>
      </c>
      <c r="C72" t="s">
        <v>118</v>
      </c>
      <c r="D72" t="s">
        <v>139</v>
      </c>
      <c r="E72" t="s">
        <v>140</v>
      </c>
      <c r="F72">
        <v>2</v>
      </c>
      <c r="G72">
        <v>20</v>
      </c>
      <c r="H72">
        <f t="shared" si="9"/>
        <v>40</v>
      </c>
      <c r="I72">
        <v>41</v>
      </c>
      <c r="J72">
        <v>1</v>
      </c>
      <c r="K72">
        <f t="shared" si="10"/>
        <v>1.0249999999999999</v>
      </c>
      <c r="L72" s="2" t="s">
        <v>61</v>
      </c>
      <c r="M72" s="5">
        <v>0.05</v>
      </c>
      <c r="N72">
        <f t="shared" si="11"/>
        <v>1.0762499999999999</v>
      </c>
      <c r="O72" s="3">
        <v>0.5</v>
      </c>
      <c r="P72">
        <f t="shared" si="12"/>
        <v>1.6143749999999999</v>
      </c>
      <c r="Q72" s="4">
        <f t="shared" si="13"/>
        <v>2</v>
      </c>
      <c r="R72">
        <v>0</v>
      </c>
      <c r="S72">
        <f t="shared" si="14"/>
        <v>0.97500000000000009</v>
      </c>
      <c r="T72">
        <f>IF(C72="","",InventoryTable[[#This Row],[Profit per Unit]]*InventoryTable[[#This Row],[Total Pieces]])</f>
        <v>39</v>
      </c>
      <c r="U72">
        <f t="shared" si="17"/>
        <v>0</v>
      </c>
      <c r="V72">
        <f>IF(C72="","",H72-InventoryTable[[#This Row],[Units Sold]])</f>
        <v>40</v>
      </c>
      <c r="W72">
        <f t="shared" si="15"/>
        <v>0</v>
      </c>
      <c r="X72">
        <f t="shared" si="16"/>
        <v>0</v>
      </c>
      <c r="Y72" t="str">
        <f>IF(C72="","",IF(InventoryTable[[#This Row],[Stock Balance]]&lt;=0,"Sold Out",IF((InventoryTable[[#This Row],[Stock Balance]]/InventoryTable[[#This Row],[Total Pieces]])&lt;=0.25,"Low on Stocks","Available")))</f>
        <v>Available</v>
      </c>
    </row>
    <row r="73" spans="1:25" x14ac:dyDescent="0.3">
      <c r="A73" t="str">
        <f>IF(C73="","",_xlfn.CONCAT(LEFT(InventoryTable[[#This Row],[Category]],1),InventoryTable[[#This Row],[Product Pricing Type]],ROW()))</f>
        <v>FFM73</v>
      </c>
      <c r="B73" s="7">
        <v>46268</v>
      </c>
      <c r="C73" t="s">
        <v>271</v>
      </c>
      <c r="D73" t="s">
        <v>142</v>
      </c>
      <c r="E73" t="s">
        <v>143</v>
      </c>
      <c r="F73">
        <v>1</v>
      </c>
      <c r="G73">
        <v>33</v>
      </c>
      <c r="H73">
        <f t="shared" si="9"/>
        <v>33</v>
      </c>
      <c r="I73">
        <v>5</v>
      </c>
      <c r="J73">
        <v>0</v>
      </c>
      <c r="K73">
        <f t="shared" si="10"/>
        <v>165</v>
      </c>
      <c r="L73" s="2" t="s">
        <v>61</v>
      </c>
      <c r="M73" s="5">
        <v>0</v>
      </c>
      <c r="N73">
        <f t="shared" si="11"/>
        <v>5</v>
      </c>
      <c r="O73" s="3">
        <v>0</v>
      </c>
      <c r="P73">
        <f t="shared" si="12"/>
        <v>5</v>
      </c>
      <c r="Q73" s="4">
        <f t="shared" si="13"/>
        <v>5</v>
      </c>
      <c r="R73">
        <v>68</v>
      </c>
      <c r="S73">
        <f t="shared" si="14"/>
        <v>2.9393939393939394</v>
      </c>
      <c r="T73">
        <f>IF(C73="","",InventoryTable[[#This Row],[Profit per Unit]]*InventoryTable[[#This Row],[Total Pieces]])</f>
        <v>97</v>
      </c>
      <c r="U73">
        <f t="shared" si="17"/>
        <v>0</v>
      </c>
      <c r="V73">
        <f>IF(C73="","",H73-InventoryTable[[#This Row],[Units Sold]])</f>
        <v>33</v>
      </c>
      <c r="W73">
        <f t="shared" si="15"/>
        <v>0</v>
      </c>
      <c r="X73">
        <f t="shared" si="16"/>
        <v>0</v>
      </c>
      <c r="Y73" t="str">
        <f>IF(C73="","",IF(InventoryTable[[#This Row],[Stock Balance]]&lt;=0,"Sold Out",IF((InventoryTable[[#This Row],[Stock Balance]]/InventoryTable[[#This Row],[Total Pieces]])&lt;=0.25,"Low on Stocks","Available")))</f>
        <v>Available</v>
      </c>
    </row>
    <row r="74" spans="1:25" x14ac:dyDescent="0.3">
      <c r="A74" t="str">
        <f>IF(C74="","",_xlfn.CONCAT(LEFT(InventoryTable[[#This Row],[Category]],1),InventoryTable[[#This Row],[Product Pricing Type]],ROW()))</f>
        <v>FFM74</v>
      </c>
      <c r="B74" s="7">
        <v>46268</v>
      </c>
      <c r="C74" t="s">
        <v>271</v>
      </c>
      <c r="D74" t="s">
        <v>82</v>
      </c>
      <c r="E74" t="s">
        <v>81</v>
      </c>
      <c r="F74">
        <v>2</v>
      </c>
      <c r="G74">
        <v>33</v>
      </c>
      <c r="H74">
        <f t="shared" si="9"/>
        <v>66</v>
      </c>
      <c r="I74">
        <v>5</v>
      </c>
      <c r="J74">
        <v>0</v>
      </c>
      <c r="K74">
        <f t="shared" si="10"/>
        <v>330</v>
      </c>
      <c r="L74" s="2" t="s">
        <v>61</v>
      </c>
      <c r="M74" s="5">
        <v>0</v>
      </c>
      <c r="N74">
        <f t="shared" si="11"/>
        <v>5</v>
      </c>
      <c r="O74" s="3">
        <v>0</v>
      </c>
      <c r="P74">
        <f t="shared" si="12"/>
        <v>5</v>
      </c>
      <c r="Q74" s="4">
        <f t="shared" si="13"/>
        <v>5</v>
      </c>
      <c r="R74">
        <v>80</v>
      </c>
      <c r="S74">
        <f t="shared" si="14"/>
        <v>3.7878787878787881</v>
      </c>
      <c r="T74">
        <f>IF(C74="","",InventoryTable[[#This Row],[Profit per Unit]]*InventoryTable[[#This Row],[Total Pieces]])</f>
        <v>250</v>
      </c>
      <c r="U74">
        <v>1</v>
      </c>
      <c r="V74">
        <f>IF(C74="","",H74-InventoryTable[[#This Row],[Units Sold]])</f>
        <v>65</v>
      </c>
      <c r="W74">
        <f t="shared" si="15"/>
        <v>5</v>
      </c>
      <c r="X74">
        <f t="shared" si="16"/>
        <v>3.7878787878787881</v>
      </c>
      <c r="Y74" t="str">
        <f>IF(C74="","",IF(InventoryTable[[#This Row],[Stock Balance]]&lt;=0,"Sold Out",IF((InventoryTable[[#This Row],[Stock Balance]]/InventoryTable[[#This Row],[Total Pieces]])&lt;=0.25,"Low on Stocks","Available")))</f>
        <v>Available</v>
      </c>
    </row>
    <row r="75" spans="1:25" x14ac:dyDescent="0.3">
      <c r="A75" t="str">
        <f>IF(C75="","",_xlfn.CONCAT(LEFT(InventoryTable[[#This Row],[Category]],1),InventoryTable[[#This Row],[Product Pricing Type]],ROW()))</f>
        <v>FFM75</v>
      </c>
      <c r="B75" s="7">
        <v>46268</v>
      </c>
      <c r="C75" t="s">
        <v>271</v>
      </c>
      <c r="D75" t="s">
        <v>144</v>
      </c>
      <c r="E75" t="s">
        <v>145</v>
      </c>
      <c r="F75">
        <v>1</v>
      </c>
      <c r="G75">
        <v>16</v>
      </c>
      <c r="H75">
        <f t="shared" si="9"/>
        <v>16</v>
      </c>
      <c r="I75">
        <v>5</v>
      </c>
      <c r="J75">
        <v>0</v>
      </c>
      <c r="K75">
        <f t="shared" si="10"/>
        <v>80</v>
      </c>
      <c r="L75" s="2" t="s">
        <v>61</v>
      </c>
      <c r="M75" s="5">
        <v>0</v>
      </c>
      <c r="N75">
        <f t="shared" si="11"/>
        <v>5</v>
      </c>
      <c r="O75" s="3">
        <v>0</v>
      </c>
      <c r="P75">
        <f t="shared" si="12"/>
        <v>5</v>
      </c>
      <c r="Q75" s="4">
        <f t="shared" si="13"/>
        <v>5</v>
      </c>
      <c r="R75">
        <v>40</v>
      </c>
      <c r="S75">
        <f t="shared" si="14"/>
        <v>2.5</v>
      </c>
      <c r="T75">
        <f>IF(C75="","",InventoryTable[[#This Row],[Profit per Unit]]*InventoryTable[[#This Row],[Total Pieces]])</f>
        <v>40</v>
      </c>
      <c r="U75">
        <f t="shared" si="17"/>
        <v>0</v>
      </c>
      <c r="V75">
        <f>IF(C75="","",H75-InventoryTable[[#This Row],[Units Sold]])</f>
        <v>16</v>
      </c>
      <c r="W75">
        <f t="shared" si="15"/>
        <v>0</v>
      </c>
      <c r="X75">
        <f t="shared" si="16"/>
        <v>0</v>
      </c>
      <c r="Y75" t="str">
        <f>IF(C75="","",IF(InventoryTable[[#This Row],[Stock Balance]]&lt;=0,"Sold Out",IF((InventoryTable[[#This Row],[Stock Balance]]/InventoryTable[[#This Row],[Total Pieces]])&lt;=0.25,"Low on Stocks","Available")))</f>
        <v>Available</v>
      </c>
    </row>
    <row r="76" spans="1:25" x14ac:dyDescent="0.3">
      <c r="A76" t="str">
        <f>IF(C76="","",_xlfn.CONCAT(LEFT(InventoryTable[[#This Row],[Category]],1),InventoryTable[[#This Row],[Product Pricing Type]],ROW()))</f>
        <v>FFM76</v>
      </c>
      <c r="B76" s="7">
        <v>46268</v>
      </c>
      <c r="C76" t="s">
        <v>271</v>
      </c>
      <c r="D76" t="s">
        <v>146</v>
      </c>
      <c r="E76" t="s">
        <v>147</v>
      </c>
      <c r="F76">
        <v>1</v>
      </c>
      <c r="G76">
        <v>16</v>
      </c>
      <c r="H76">
        <f t="shared" si="9"/>
        <v>16</v>
      </c>
      <c r="I76">
        <v>5</v>
      </c>
      <c r="J76">
        <v>0</v>
      </c>
      <c r="K76">
        <f t="shared" si="10"/>
        <v>80</v>
      </c>
      <c r="L76" s="2" t="s">
        <v>61</v>
      </c>
      <c r="M76" s="5">
        <v>0</v>
      </c>
      <c r="N76">
        <f t="shared" si="11"/>
        <v>5</v>
      </c>
      <c r="O76" s="3">
        <v>0</v>
      </c>
      <c r="P76">
        <f t="shared" si="12"/>
        <v>5</v>
      </c>
      <c r="Q76" s="4">
        <f t="shared" si="13"/>
        <v>5</v>
      </c>
      <c r="R76">
        <v>41</v>
      </c>
      <c r="S76">
        <f t="shared" si="14"/>
        <v>2.4375</v>
      </c>
      <c r="T76">
        <f>IF(C76="","",InventoryTable[[#This Row],[Profit per Unit]]*InventoryTable[[#This Row],[Total Pieces]])</f>
        <v>39</v>
      </c>
      <c r="U76">
        <f t="shared" si="17"/>
        <v>0</v>
      </c>
      <c r="V76">
        <f>IF(C76="","",H76-InventoryTable[[#This Row],[Units Sold]])</f>
        <v>16</v>
      </c>
      <c r="W76">
        <f t="shared" si="15"/>
        <v>0</v>
      </c>
      <c r="X76">
        <f t="shared" si="16"/>
        <v>0</v>
      </c>
      <c r="Y76" t="str">
        <f>IF(C76="","",IF(InventoryTable[[#This Row],[Stock Balance]]&lt;=0,"Sold Out",IF((InventoryTable[[#This Row],[Stock Balance]]/InventoryTable[[#This Row],[Total Pieces]])&lt;=0.25,"Low on Stocks","Available")))</f>
        <v>Available</v>
      </c>
    </row>
    <row r="77" spans="1:25" x14ac:dyDescent="0.3">
      <c r="A77" t="str">
        <f>IF(C77="","",_xlfn.CONCAT(LEFT(InventoryTable[[#This Row],[Category]],1),InventoryTable[[#This Row],[Product Pricing Type]],ROW()))</f>
        <v>FFM77</v>
      </c>
      <c r="B77" s="7">
        <v>46268</v>
      </c>
      <c r="C77" t="s">
        <v>271</v>
      </c>
      <c r="D77" t="s">
        <v>146</v>
      </c>
      <c r="E77" t="s">
        <v>148</v>
      </c>
      <c r="F77">
        <v>1</v>
      </c>
      <c r="G77">
        <v>16</v>
      </c>
      <c r="H77">
        <f t="shared" si="9"/>
        <v>16</v>
      </c>
      <c r="I77">
        <v>5</v>
      </c>
      <c r="J77">
        <v>0</v>
      </c>
      <c r="K77">
        <f t="shared" si="10"/>
        <v>80</v>
      </c>
      <c r="L77" s="2" t="s">
        <v>61</v>
      </c>
      <c r="M77" s="5">
        <v>0</v>
      </c>
      <c r="N77">
        <f t="shared" si="11"/>
        <v>5</v>
      </c>
      <c r="O77" s="3">
        <v>0</v>
      </c>
      <c r="P77">
        <f t="shared" si="12"/>
        <v>5</v>
      </c>
      <c r="Q77" s="4">
        <f t="shared" si="13"/>
        <v>5</v>
      </c>
      <c r="R77">
        <v>41</v>
      </c>
      <c r="S77">
        <f t="shared" si="14"/>
        <v>2.4375</v>
      </c>
      <c r="T77">
        <f>IF(C77="","",InventoryTable[[#This Row],[Profit per Unit]]*InventoryTable[[#This Row],[Total Pieces]])</f>
        <v>39</v>
      </c>
      <c r="U77">
        <f t="shared" si="17"/>
        <v>0</v>
      </c>
      <c r="V77">
        <f>IF(C77="","",H77-InventoryTable[[#This Row],[Units Sold]])</f>
        <v>16</v>
      </c>
      <c r="W77">
        <f t="shared" si="15"/>
        <v>0</v>
      </c>
      <c r="X77">
        <f t="shared" si="16"/>
        <v>0</v>
      </c>
      <c r="Y77" t="str">
        <f>IF(C77="","",IF(InventoryTable[[#This Row],[Stock Balance]]&lt;=0,"Sold Out",IF((InventoryTable[[#This Row],[Stock Balance]]/InventoryTable[[#This Row],[Total Pieces]])&lt;=0.25,"Low on Stocks","Available")))</f>
        <v>Available</v>
      </c>
    </row>
    <row r="78" spans="1:25" x14ac:dyDescent="0.3">
      <c r="A78" t="str">
        <f>IF(C78="","",_xlfn.CONCAT(LEFT(InventoryTable[[#This Row],[Category]],1),InventoryTable[[#This Row],[Product Pricing Type]],ROW()))</f>
        <v>BFM78</v>
      </c>
      <c r="B78" s="7">
        <v>46268</v>
      </c>
      <c r="C78" t="s">
        <v>115</v>
      </c>
      <c r="D78" t="s">
        <v>149</v>
      </c>
      <c r="E78" t="s">
        <v>150</v>
      </c>
      <c r="F78">
        <v>1</v>
      </c>
      <c r="G78">
        <v>12</v>
      </c>
      <c r="H78">
        <f t="shared" si="9"/>
        <v>12</v>
      </c>
      <c r="I78">
        <v>76</v>
      </c>
      <c r="J78">
        <v>1</v>
      </c>
      <c r="K78">
        <f t="shared" si="10"/>
        <v>6.333333333333333</v>
      </c>
      <c r="L78" s="2" t="s">
        <v>61</v>
      </c>
      <c r="M78" s="5">
        <v>0.05</v>
      </c>
      <c r="N78">
        <f t="shared" si="11"/>
        <v>6.6499999999999995</v>
      </c>
      <c r="O78" s="3">
        <v>0.1</v>
      </c>
      <c r="P78">
        <f t="shared" si="12"/>
        <v>7.3149999999999995</v>
      </c>
      <c r="Q78" s="4">
        <f t="shared" si="13"/>
        <v>8</v>
      </c>
      <c r="R78">
        <v>0</v>
      </c>
      <c r="S78">
        <f t="shared" si="14"/>
        <v>1.666666666666667</v>
      </c>
      <c r="T78">
        <f>IF(C78="","",InventoryTable[[#This Row],[Profit per Unit]]*InventoryTable[[#This Row],[Total Pieces]])</f>
        <v>20.000000000000004</v>
      </c>
      <c r="U78">
        <v>1</v>
      </c>
      <c r="V78">
        <f>IF(C78="","",H78-InventoryTable[[#This Row],[Units Sold]])</f>
        <v>11</v>
      </c>
      <c r="W78">
        <f t="shared" si="15"/>
        <v>8</v>
      </c>
      <c r="X78">
        <f t="shared" si="16"/>
        <v>1.666666666666667</v>
      </c>
      <c r="Y78" t="str">
        <f>IF(C78="","",IF(InventoryTable[[#This Row],[Stock Balance]]&lt;=0,"Sold Out",IF((InventoryTable[[#This Row],[Stock Balance]]/InventoryTable[[#This Row],[Total Pieces]])&lt;=0.25,"Low on Stocks","Available")))</f>
        <v>Available</v>
      </c>
    </row>
    <row r="79" spans="1:25" x14ac:dyDescent="0.3">
      <c r="A79" t="str">
        <f>IF(C79="","",_xlfn.CONCAT(LEFT(InventoryTable[[#This Row],[Category]],1),InventoryTable[[#This Row],[Product Pricing Type]],ROW()))</f>
        <v>BFM79</v>
      </c>
      <c r="B79" s="7">
        <v>46268</v>
      </c>
      <c r="C79" t="s">
        <v>116</v>
      </c>
      <c r="D79" t="s">
        <v>151</v>
      </c>
      <c r="E79" t="s">
        <v>152</v>
      </c>
      <c r="F79">
        <v>1</v>
      </c>
      <c r="G79">
        <v>10</v>
      </c>
      <c r="H79">
        <f t="shared" si="9"/>
        <v>10</v>
      </c>
      <c r="I79">
        <v>77.75</v>
      </c>
      <c r="J79">
        <v>1</v>
      </c>
      <c r="K79">
        <f t="shared" si="10"/>
        <v>7.7750000000000004</v>
      </c>
      <c r="L79" s="2" t="s">
        <v>61</v>
      </c>
      <c r="M79" s="5">
        <v>0.05</v>
      </c>
      <c r="N79">
        <f t="shared" si="11"/>
        <v>8.1637500000000003</v>
      </c>
      <c r="O79" s="3">
        <v>0.1</v>
      </c>
      <c r="P79">
        <f t="shared" si="12"/>
        <v>8.980125000000001</v>
      </c>
      <c r="Q79" s="4">
        <f t="shared" si="13"/>
        <v>9</v>
      </c>
      <c r="R79">
        <v>0</v>
      </c>
      <c r="S79">
        <f t="shared" si="14"/>
        <v>1.2249999999999996</v>
      </c>
      <c r="T79">
        <f>IF(C79="","",InventoryTable[[#This Row],[Profit per Unit]]*InventoryTable[[#This Row],[Total Pieces]])</f>
        <v>12.249999999999996</v>
      </c>
      <c r="U79">
        <f t="shared" si="17"/>
        <v>0</v>
      </c>
      <c r="V79">
        <f>IF(C79="","",H79-InventoryTable[[#This Row],[Units Sold]])</f>
        <v>10</v>
      </c>
      <c r="W79">
        <f t="shared" si="15"/>
        <v>0</v>
      </c>
      <c r="X79">
        <f t="shared" si="16"/>
        <v>0</v>
      </c>
      <c r="Y79" t="str">
        <f>IF(C79="","",IF(InventoryTable[[#This Row],[Stock Balance]]&lt;=0,"Sold Out",IF((InventoryTable[[#This Row],[Stock Balance]]/InventoryTable[[#This Row],[Total Pieces]])&lt;=0.25,"Low on Stocks","Available")))</f>
        <v>Available</v>
      </c>
    </row>
    <row r="80" spans="1:25" x14ac:dyDescent="0.3">
      <c r="A80" t="str">
        <f>IF(C80="","",_xlfn.CONCAT(LEFT(InventoryTable[[#This Row],[Category]],1),InventoryTable[[#This Row],[Product Pricing Type]],ROW()))</f>
        <v>BFM80</v>
      </c>
      <c r="B80" s="7">
        <v>46268</v>
      </c>
      <c r="C80" t="s">
        <v>115</v>
      </c>
      <c r="D80" t="s">
        <v>153</v>
      </c>
      <c r="E80" t="s">
        <v>154</v>
      </c>
      <c r="F80">
        <v>2</v>
      </c>
      <c r="G80">
        <v>10</v>
      </c>
      <c r="H80">
        <f t="shared" si="9"/>
        <v>20</v>
      </c>
      <c r="I80">
        <v>119</v>
      </c>
      <c r="J80">
        <v>1</v>
      </c>
      <c r="K80">
        <f t="shared" si="10"/>
        <v>5.95</v>
      </c>
      <c r="L80" s="2" t="s">
        <v>61</v>
      </c>
      <c r="M80" s="5">
        <v>0.05</v>
      </c>
      <c r="N80">
        <f t="shared" si="11"/>
        <v>6.2475000000000005</v>
      </c>
      <c r="O80" s="3">
        <v>0.15</v>
      </c>
      <c r="P80">
        <f t="shared" si="12"/>
        <v>7.1846250000000005</v>
      </c>
      <c r="Q80" s="4">
        <f t="shared" si="13"/>
        <v>8</v>
      </c>
      <c r="R80">
        <v>0</v>
      </c>
      <c r="S80">
        <f t="shared" si="14"/>
        <v>2.0499999999999998</v>
      </c>
      <c r="T80">
        <f>IF(C80="","",InventoryTable[[#This Row],[Profit per Unit]]*InventoryTable[[#This Row],[Total Pieces]])</f>
        <v>41</v>
      </c>
      <c r="U80">
        <f t="shared" si="17"/>
        <v>0</v>
      </c>
      <c r="V80">
        <f>IF(C80="","",H80-InventoryTable[[#This Row],[Units Sold]])</f>
        <v>20</v>
      </c>
      <c r="W80">
        <f t="shared" si="15"/>
        <v>0</v>
      </c>
      <c r="X80">
        <f t="shared" si="16"/>
        <v>0</v>
      </c>
      <c r="Y80" t="str">
        <f>IF(C80="","",IF(InventoryTable[[#This Row],[Stock Balance]]&lt;=0,"Sold Out",IF((InventoryTable[[#This Row],[Stock Balance]]/InventoryTable[[#This Row],[Total Pieces]])&lt;=0.25,"Low on Stocks","Available")))</f>
        <v>Available</v>
      </c>
    </row>
    <row r="81" spans="1:25" x14ac:dyDescent="0.3">
      <c r="A81" t="str">
        <f>IF(C81="","",_xlfn.CONCAT(LEFT(InventoryTable[[#This Row],[Category]],1),InventoryTable[[#This Row],[Product Pricing Type]],ROW()))</f>
        <v>BFM81</v>
      </c>
      <c r="B81" s="7">
        <v>46268</v>
      </c>
      <c r="C81" t="s">
        <v>115</v>
      </c>
      <c r="D81" t="s">
        <v>155</v>
      </c>
      <c r="E81" t="s">
        <v>156</v>
      </c>
      <c r="F81">
        <v>1</v>
      </c>
      <c r="G81">
        <v>24</v>
      </c>
      <c r="H81">
        <f t="shared" si="9"/>
        <v>24</v>
      </c>
      <c r="I81">
        <v>139</v>
      </c>
      <c r="J81">
        <v>1</v>
      </c>
      <c r="K81">
        <f t="shared" si="10"/>
        <v>5.791666666666667</v>
      </c>
      <c r="L81" s="2" t="s">
        <v>61</v>
      </c>
      <c r="M81" s="5">
        <v>0.05</v>
      </c>
      <c r="N81">
        <f t="shared" si="11"/>
        <v>6.0812500000000007</v>
      </c>
      <c r="O81" s="3">
        <v>0.2</v>
      </c>
      <c r="P81">
        <f t="shared" si="12"/>
        <v>7.2975000000000012</v>
      </c>
      <c r="Q81" s="4">
        <f t="shared" si="13"/>
        <v>8</v>
      </c>
      <c r="R81">
        <v>0</v>
      </c>
      <c r="S81">
        <f t="shared" si="14"/>
        <v>2.208333333333333</v>
      </c>
      <c r="T81">
        <f>IF(C81="","",InventoryTable[[#This Row],[Profit per Unit]]*InventoryTable[[#This Row],[Total Pieces]])</f>
        <v>52.999999999999993</v>
      </c>
      <c r="U81">
        <f t="shared" si="17"/>
        <v>0</v>
      </c>
      <c r="V81">
        <f>IF(C81="","",H81-InventoryTable[[#This Row],[Units Sold]])</f>
        <v>24</v>
      </c>
      <c r="W81">
        <f t="shared" si="15"/>
        <v>0</v>
      </c>
      <c r="X81">
        <f t="shared" si="16"/>
        <v>0</v>
      </c>
      <c r="Y81" t="str">
        <f>IF(C81="","",IF(InventoryTable[[#This Row],[Stock Balance]]&lt;=0,"Sold Out",IF((InventoryTable[[#This Row],[Stock Balance]]/InventoryTable[[#This Row],[Total Pieces]])&lt;=0.25,"Low on Stocks","Available")))</f>
        <v>Available</v>
      </c>
    </row>
    <row r="82" spans="1:25" x14ac:dyDescent="0.3">
      <c r="A82" t="str">
        <f>IF(C82="","",_xlfn.CONCAT(LEFT(InventoryTable[[#This Row],[Category]],1),InventoryTable[[#This Row],[Product Pricing Type]],ROW()))</f>
        <v>MFM82</v>
      </c>
      <c r="B82" s="7">
        <v>46268</v>
      </c>
      <c r="C82" t="s">
        <v>157</v>
      </c>
      <c r="D82" t="s">
        <v>158</v>
      </c>
      <c r="E82" t="s">
        <v>159</v>
      </c>
      <c r="F82">
        <v>1</v>
      </c>
      <c r="G82">
        <v>10</v>
      </c>
      <c r="H82">
        <f t="shared" si="9"/>
        <v>10</v>
      </c>
      <c r="I82">
        <v>83.5</v>
      </c>
      <c r="J82">
        <v>1</v>
      </c>
      <c r="K82">
        <f t="shared" si="10"/>
        <v>8.35</v>
      </c>
      <c r="L82" s="2" t="s">
        <v>61</v>
      </c>
      <c r="M82" s="5">
        <v>0.05</v>
      </c>
      <c r="N82">
        <f t="shared" si="11"/>
        <v>8.7675000000000001</v>
      </c>
      <c r="O82" s="3">
        <v>0.1</v>
      </c>
      <c r="P82">
        <f t="shared" si="12"/>
        <v>9.6442499999999995</v>
      </c>
      <c r="Q82" s="4">
        <f t="shared" si="13"/>
        <v>10</v>
      </c>
      <c r="R82">
        <v>0</v>
      </c>
      <c r="S82">
        <f t="shared" si="14"/>
        <v>1.6500000000000004</v>
      </c>
      <c r="T82">
        <f>IF(C82="","",InventoryTable[[#This Row],[Profit per Unit]]*InventoryTable[[#This Row],[Total Pieces]])</f>
        <v>16.500000000000004</v>
      </c>
      <c r="U82">
        <f t="shared" si="17"/>
        <v>0</v>
      </c>
      <c r="V82">
        <f>IF(C82="","",H82-InventoryTable[[#This Row],[Units Sold]])</f>
        <v>10</v>
      </c>
      <c r="W82">
        <f t="shared" si="15"/>
        <v>0</v>
      </c>
      <c r="X82">
        <f t="shared" si="16"/>
        <v>0</v>
      </c>
      <c r="Y82" t="str">
        <f>IF(C82="","",IF(InventoryTable[[#This Row],[Stock Balance]]&lt;=0,"Sold Out",IF((InventoryTable[[#This Row],[Stock Balance]]/InventoryTable[[#This Row],[Total Pieces]])&lt;=0.25,"Low on Stocks","Available")))</f>
        <v>Available</v>
      </c>
    </row>
    <row r="83" spans="1:25" x14ac:dyDescent="0.3">
      <c r="A83" t="str">
        <f>IF(C83="","",_xlfn.CONCAT(LEFT(InventoryTable[[#This Row],[Category]],1),InventoryTable[[#This Row],[Product Pricing Type]],ROW()))</f>
        <v>CFM83</v>
      </c>
      <c r="B83" s="7">
        <v>46268</v>
      </c>
      <c r="C83" t="s">
        <v>160</v>
      </c>
      <c r="D83" t="s">
        <v>161</v>
      </c>
      <c r="E83" t="s">
        <v>162</v>
      </c>
      <c r="F83">
        <v>1</v>
      </c>
      <c r="G83">
        <v>10</v>
      </c>
      <c r="H83">
        <f t="shared" si="9"/>
        <v>10</v>
      </c>
      <c r="I83">
        <v>84</v>
      </c>
      <c r="J83">
        <v>1</v>
      </c>
      <c r="K83">
        <f t="shared" si="10"/>
        <v>8.4</v>
      </c>
      <c r="L83" s="2" t="s">
        <v>61</v>
      </c>
      <c r="M83" s="5">
        <v>0.05</v>
      </c>
      <c r="N83">
        <f t="shared" si="11"/>
        <v>8.82</v>
      </c>
      <c r="O83" s="3">
        <v>0.1</v>
      </c>
      <c r="P83">
        <f t="shared" si="12"/>
        <v>9.702</v>
      </c>
      <c r="Q83" s="4">
        <f t="shared" si="13"/>
        <v>10</v>
      </c>
      <c r="R83">
        <v>0</v>
      </c>
      <c r="S83">
        <f t="shared" si="14"/>
        <v>1.5999999999999996</v>
      </c>
      <c r="T83">
        <f>IF(C83="","",InventoryTable[[#This Row],[Profit per Unit]]*InventoryTable[[#This Row],[Total Pieces]])</f>
        <v>15.999999999999996</v>
      </c>
      <c r="U83">
        <f t="shared" si="17"/>
        <v>0</v>
      </c>
      <c r="V83">
        <f>IF(C83="","",H83-InventoryTable[[#This Row],[Units Sold]])</f>
        <v>10</v>
      </c>
      <c r="W83">
        <f t="shared" si="15"/>
        <v>0</v>
      </c>
      <c r="X83">
        <f t="shared" si="16"/>
        <v>0</v>
      </c>
      <c r="Y83" t="str">
        <f>IF(C83="","",IF(InventoryTable[[#This Row],[Stock Balance]]&lt;=0,"Sold Out",IF((InventoryTable[[#This Row],[Stock Balance]]/InventoryTable[[#This Row],[Total Pieces]])&lt;=0.25,"Low on Stocks","Available")))</f>
        <v>Available</v>
      </c>
    </row>
    <row r="84" spans="1:25" x14ac:dyDescent="0.3">
      <c r="A84" t="str">
        <f>IF(C84="","",_xlfn.CONCAT(LEFT(InventoryTable[[#This Row],[Category]],1),InventoryTable[[#This Row],[Product Pricing Type]],ROW()))</f>
        <v>FFM84</v>
      </c>
      <c r="B84" s="7">
        <v>46268</v>
      </c>
      <c r="C84" t="s">
        <v>271</v>
      </c>
      <c r="D84" t="s">
        <v>163</v>
      </c>
      <c r="E84" t="s">
        <v>163</v>
      </c>
      <c r="F84">
        <v>1</v>
      </c>
      <c r="G84">
        <v>16</v>
      </c>
      <c r="H84">
        <f t="shared" si="9"/>
        <v>16</v>
      </c>
      <c r="I84">
        <v>5</v>
      </c>
      <c r="J84">
        <v>0</v>
      </c>
      <c r="K84">
        <f t="shared" si="10"/>
        <v>80</v>
      </c>
      <c r="L84" s="2" t="s">
        <v>61</v>
      </c>
      <c r="M84" s="5">
        <v>0</v>
      </c>
      <c r="N84">
        <f t="shared" si="11"/>
        <v>5</v>
      </c>
      <c r="O84" s="3">
        <v>0</v>
      </c>
      <c r="P84">
        <f t="shared" si="12"/>
        <v>5</v>
      </c>
      <c r="Q84" s="4">
        <f t="shared" si="13"/>
        <v>5</v>
      </c>
      <c r="R84">
        <v>46.5</v>
      </c>
      <c r="S84">
        <f t="shared" si="14"/>
        <v>2.09375</v>
      </c>
      <c r="T84">
        <f>IF(C84="","",InventoryTable[[#This Row],[Profit per Unit]]*InventoryTable[[#This Row],[Total Pieces]])</f>
        <v>33.5</v>
      </c>
      <c r="U84">
        <v>1</v>
      </c>
      <c r="V84">
        <f>IF(C84="","",H84-InventoryTable[[#This Row],[Units Sold]])</f>
        <v>15</v>
      </c>
      <c r="W84">
        <f t="shared" si="15"/>
        <v>5</v>
      </c>
      <c r="X84">
        <f t="shared" si="16"/>
        <v>2.09375</v>
      </c>
      <c r="Y84" t="str">
        <f>IF(C84="","",IF(InventoryTable[[#This Row],[Stock Balance]]&lt;=0,"Sold Out",IF((InventoryTable[[#This Row],[Stock Balance]]/InventoryTable[[#This Row],[Total Pieces]])&lt;=0.25,"Low on Stocks","Available")))</f>
        <v>Available</v>
      </c>
    </row>
    <row r="85" spans="1:25" x14ac:dyDescent="0.3">
      <c r="A85" t="str">
        <f>IF(C85="","",_xlfn.CONCAT(LEFT(InventoryTable[[#This Row],[Category]],1),InventoryTable[[#This Row],[Product Pricing Type]],ROW()))</f>
        <v>CFM85</v>
      </c>
      <c r="B85" s="7">
        <v>46268</v>
      </c>
      <c r="C85" t="s">
        <v>160</v>
      </c>
      <c r="D85" t="s">
        <v>161</v>
      </c>
      <c r="E85" t="s">
        <v>164</v>
      </c>
      <c r="F85">
        <v>1</v>
      </c>
      <c r="G85">
        <v>10</v>
      </c>
      <c r="H85">
        <f t="shared" si="9"/>
        <v>10</v>
      </c>
      <c r="I85">
        <v>84</v>
      </c>
      <c r="J85">
        <v>1</v>
      </c>
      <c r="K85">
        <f t="shared" si="10"/>
        <v>8.4</v>
      </c>
      <c r="L85" s="2" t="s">
        <v>61</v>
      </c>
      <c r="M85" s="5">
        <v>0.05</v>
      </c>
      <c r="N85">
        <f t="shared" si="11"/>
        <v>8.82</v>
      </c>
      <c r="O85" s="3">
        <v>0.1</v>
      </c>
      <c r="P85">
        <f t="shared" si="12"/>
        <v>9.702</v>
      </c>
      <c r="Q85" s="4">
        <f t="shared" si="13"/>
        <v>10</v>
      </c>
      <c r="R85">
        <v>0</v>
      </c>
      <c r="S85">
        <f t="shared" si="14"/>
        <v>1.5999999999999996</v>
      </c>
      <c r="T85">
        <f>IF(C85="","",InventoryTable[[#This Row],[Profit per Unit]]*InventoryTable[[#This Row],[Total Pieces]])</f>
        <v>15.999999999999996</v>
      </c>
      <c r="U85">
        <f t="shared" si="17"/>
        <v>0</v>
      </c>
      <c r="V85">
        <f>IF(C85="","",H85-InventoryTable[[#This Row],[Units Sold]])</f>
        <v>10</v>
      </c>
      <c r="W85">
        <f t="shared" si="15"/>
        <v>0</v>
      </c>
      <c r="X85">
        <f t="shared" si="16"/>
        <v>0</v>
      </c>
      <c r="Y85" t="str">
        <f>IF(C85="","",IF(InventoryTable[[#This Row],[Stock Balance]]&lt;=0,"Sold Out",IF((InventoryTable[[#This Row],[Stock Balance]]/InventoryTable[[#This Row],[Total Pieces]])&lt;=0.25,"Low on Stocks","Available")))</f>
        <v>Available</v>
      </c>
    </row>
    <row r="86" spans="1:25" x14ac:dyDescent="0.3">
      <c r="A86" t="str">
        <f>IF(C86="","",_xlfn.CONCAT(LEFT(InventoryTable[[#This Row],[Category]],1),InventoryTable[[#This Row],[Product Pricing Type]],ROW()))</f>
        <v>CFM86</v>
      </c>
      <c r="B86" s="7">
        <v>46268</v>
      </c>
      <c r="C86" t="s">
        <v>81</v>
      </c>
      <c r="D86" t="s">
        <v>165</v>
      </c>
      <c r="E86" t="s">
        <v>166</v>
      </c>
      <c r="F86">
        <v>1</v>
      </c>
      <c r="G86">
        <v>10</v>
      </c>
      <c r="H86">
        <f t="shared" si="9"/>
        <v>10</v>
      </c>
      <c r="I86">
        <v>127.5</v>
      </c>
      <c r="J86">
        <v>1</v>
      </c>
      <c r="K86">
        <f t="shared" si="10"/>
        <v>12.75</v>
      </c>
      <c r="L86" s="2" t="s">
        <v>61</v>
      </c>
      <c r="M86" s="5">
        <v>0.05</v>
      </c>
      <c r="N86">
        <f t="shared" si="11"/>
        <v>13.387499999999999</v>
      </c>
      <c r="O86" s="3">
        <v>0.05</v>
      </c>
      <c r="P86">
        <f t="shared" si="12"/>
        <v>14.056875</v>
      </c>
      <c r="Q86" s="4">
        <f t="shared" si="13"/>
        <v>15</v>
      </c>
      <c r="R86">
        <v>0</v>
      </c>
      <c r="S86">
        <f t="shared" si="14"/>
        <v>2.25</v>
      </c>
      <c r="T86">
        <f>IF(C86="","",InventoryTable[[#This Row],[Profit per Unit]]*InventoryTable[[#This Row],[Total Pieces]])</f>
        <v>22.5</v>
      </c>
      <c r="U86">
        <f t="shared" si="17"/>
        <v>0</v>
      </c>
      <c r="V86">
        <f>IF(C86="","",H86-InventoryTable[[#This Row],[Units Sold]])</f>
        <v>10</v>
      </c>
      <c r="W86">
        <f t="shared" si="15"/>
        <v>0</v>
      </c>
      <c r="X86">
        <f t="shared" si="16"/>
        <v>0</v>
      </c>
      <c r="Y86" t="str">
        <f>IF(C86="","",IF(InventoryTable[[#This Row],[Stock Balance]]&lt;=0,"Sold Out",IF((InventoryTable[[#This Row],[Stock Balance]]/InventoryTable[[#This Row],[Total Pieces]])&lt;=0.25,"Low on Stocks","Available")))</f>
        <v>Available</v>
      </c>
    </row>
    <row r="87" spans="1:25" x14ac:dyDescent="0.3">
      <c r="A87" t="str">
        <f>IF(C87="","",_xlfn.CONCAT(LEFT(InventoryTable[[#This Row],[Category]],1),InventoryTable[[#This Row],[Product Pricing Type]],ROW()))</f>
        <v>BFM87</v>
      </c>
      <c r="B87" s="7">
        <v>46268</v>
      </c>
      <c r="C87" t="s">
        <v>116</v>
      </c>
      <c r="D87" t="s">
        <v>167</v>
      </c>
      <c r="E87" t="s">
        <v>162</v>
      </c>
      <c r="F87">
        <v>2</v>
      </c>
      <c r="G87">
        <v>10</v>
      </c>
      <c r="H87">
        <f t="shared" si="9"/>
        <v>20</v>
      </c>
      <c r="I87">
        <f>81*2</f>
        <v>162</v>
      </c>
      <c r="J87">
        <v>1</v>
      </c>
      <c r="K87">
        <f t="shared" si="10"/>
        <v>8.1</v>
      </c>
      <c r="L87" s="2" t="s">
        <v>61</v>
      </c>
      <c r="M87" s="5">
        <v>0.05</v>
      </c>
      <c r="N87">
        <f t="shared" si="11"/>
        <v>8.504999999999999</v>
      </c>
      <c r="O87" s="3">
        <v>0.1</v>
      </c>
      <c r="P87">
        <f t="shared" si="12"/>
        <v>9.3554999999999993</v>
      </c>
      <c r="Q87" s="4">
        <f t="shared" si="13"/>
        <v>10</v>
      </c>
      <c r="R87">
        <v>0</v>
      </c>
      <c r="S87">
        <f t="shared" si="14"/>
        <v>1.9000000000000004</v>
      </c>
      <c r="T87">
        <f>IF(C87="","",InventoryTable[[#This Row],[Profit per Unit]]*InventoryTable[[#This Row],[Total Pieces]])</f>
        <v>38.000000000000007</v>
      </c>
      <c r="U87">
        <f t="shared" si="17"/>
        <v>0</v>
      </c>
      <c r="V87">
        <f>IF(C87="","",H87-InventoryTable[[#This Row],[Units Sold]])</f>
        <v>20</v>
      </c>
      <c r="W87">
        <f t="shared" si="15"/>
        <v>0</v>
      </c>
      <c r="X87">
        <f t="shared" si="16"/>
        <v>0</v>
      </c>
      <c r="Y87" t="str">
        <f>IF(C87="","",IF(InventoryTable[[#This Row],[Stock Balance]]&lt;=0,"Sold Out",IF((InventoryTable[[#This Row],[Stock Balance]]/InventoryTable[[#This Row],[Total Pieces]])&lt;=0.25,"Low on Stocks","Available")))</f>
        <v>Available</v>
      </c>
    </row>
    <row r="88" spans="1:25" x14ac:dyDescent="0.3">
      <c r="A88" t="str">
        <f>IF(C88="","",_xlfn.CONCAT(LEFT(InventoryTable[[#This Row],[Category]],1),InventoryTable[[#This Row],[Product Pricing Type]],ROW()))</f>
        <v>BFM88</v>
      </c>
      <c r="B88" s="7">
        <v>46268</v>
      </c>
      <c r="C88" t="s">
        <v>116</v>
      </c>
      <c r="D88" t="s">
        <v>168</v>
      </c>
      <c r="E88" t="s">
        <v>169</v>
      </c>
      <c r="F88">
        <v>1</v>
      </c>
      <c r="G88">
        <v>10</v>
      </c>
      <c r="H88">
        <f t="shared" si="9"/>
        <v>10</v>
      </c>
      <c r="I88">
        <v>80</v>
      </c>
      <c r="J88">
        <v>1</v>
      </c>
      <c r="K88">
        <f t="shared" si="10"/>
        <v>8</v>
      </c>
      <c r="L88" s="2" t="s">
        <v>61</v>
      </c>
      <c r="M88" s="5">
        <v>0.05</v>
      </c>
      <c r="N88">
        <f t="shared" si="11"/>
        <v>8.4</v>
      </c>
      <c r="O88" s="3">
        <v>0.1</v>
      </c>
      <c r="P88">
        <f t="shared" si="12"/>
        <v>9.24</v>
      </c>
      <c r="Q88" s="4">
        <f t="shared" si="13"/>
        <v>10</v>
      </c>
      <c r="R88">
        <v>0</v>
      </c>
      <c r="S88">
        <f t="shared" si="14"/>
        <v>2</v>
      </c>
      <c r="T88">
        <f>IF(C88="","",InventoryTable[[#This Row],[Profit per Unit]]*InventoryTable[[#This Row],[Total Pieces]])</f>
        <v>20</v>
      </c>
      <c r="U88">
        <f t="shared" si="17"/>
        <v>0</v>
      </c>
      <c r="V88">
        <f>IF(C88="","",H88-InventoryTable[[#This Row],[Units Sold]])</f>
        <v>10</v>
      </c>
      <c r="W88">
        <f t="shared" si="15"/>
        <v>0</v>
      </c>
      <c r="X88">
        <f t="shared" si="16"/>
        <v>0</v>
      </c>
      <c r="Y88" t="str">
        <f>IF(C88="","",IF(InventoryTable[[#This Row],[Stock Balance]]&lt;=0,"Sold Out",IF((InventoryTable[[#This Row],[Stock Balance]]/InventoryTable[[#This Row],[Total Pieces]])&lt;=0.25,"Low on Stocks","Available")))</f>
        <v>Available</v>
      </c>
    </row>
    <row r="89" spans="1:25" x14ac:dyDescent="0.3">
      <c r="A89" t="str">
        <f>IF(C89="","",_xlfn.CONCAT(LEFT(InventoryTable[[#This Row],[Category]],1),InventoryTable[[#This Row],[Product Pricing Type]],ROW()))</f>
        <v>BFM89</v>
      </c>
      <c r="B89" s="7">
        <v>46268</v>
      </c>
      <c r="C89" t="s">
        <v>115</v>
      </c>
      <c r="D89" t="s">
        <v>170</v>
      </c>
      <c r="E89" t="s">
        <v>171</v>
      </c>
      <c r="F89">
        <v>1</v>
      </c>
      <c r="G89">
        <v>10</v>
      </c>
      <c r="H89">
        <f t="shared" si="9"/>
        <v>10</v>
      </c>
      <c r="I89">
        <v>75</v>
      </c>
      <c r="J89">
        <v>1</v>
      </c>
      <c r="K89">
        <f t="shared" si="10"/>
        <v>7.5</v>
      </c>
      <c r="L89" s="2" t="s">
        <v>61</v>
      </c>
      <c r="M89" s="5">
        <v>0.05</v>
      </c>
      <c r="N89">
        <f t="shared" si="11"/>
        <v>7.875</v>
      </c>
      <c r="O89" s="3">
        <v>0.15</v>
      </c>
      <c r="P89">
        <f t="shared" si="12"/>
        <v>9.0562500000000004</v>
      </c>
      <c r="Q89" s="4">
        <f t="shared" si="13"/>
        <v>10</v>
      </c>
      <c r="R89">
        <v>0</v>
      </c>
      <c r="S89">
        <f t="shared" si="14"/>
        <v>2.5</v>
      </c>
      <c r="T89">
        <f>IF(C89="","",InventoryTable[[#This Row],[Profit per Unit]]*InventoryTable[[#This Row],[Total Pieces]])</f>
        <v>25</v>
      </c>
      <c r="U89">
        <v>1</v>
      </c>
      <c r="V89">
        <f>IF(C89="","",H89-InventoryTable[[#This Row],[Units Sold]])</f>
        <v>9</v>
      </c>
      <c r="W89">
        <f t="shared" si="15"/>
        <v>10</v>
      </c>
      <c r="X89">
        <f t="shared" si="16"/>
        <v>2.5</v>
      </c>
      <c r="Y89" t="str">
        <f>IF(C89="","",IF(InventoryTable[[#This Row],[Stock Balance]]&lt;=0,"Sold Out",IF((InventoryTable[[#This Row],[Stock Balance]]/InventoryTable[[#This Row],[Total Pieces]])&lt;=0.25,"Low on Stocks","Available")))</f>
        <v>Available</v>
      </c>
    </row>
    <row r="90" spans="1:25" x14ac:dyDescent="0.3">
      <c r="A90" t="str">
        <f>IF(C90="","",_xlfn.CONCAT(LEFT(InventoryTable[[#This Row],[Category]],1),InventoryTable[[#This Row],[Product Pricing Type]],ROW()))</f>
        <v>CFM90</v>
      </c>
      <c r="B90" s="7">
        <v>46268</v>
      </c>
      <c r="C90" t="s">
        <v>141</v>
      </c>
      <c r="D90" t="s">
        <v>172</v>
      </c>
      <c r="E90" t="s">
        <v>141</v>
      </c>
      <c r="F90">
        <v>2</v>
      </c>
      <c r="G90">
        <v>24</v>
      </c>
      <c r="H90">
        <f t="shared" si="9"/>
        <v>48</v>
      </c>
      <c r="I90">
        <v>47</v>
      </c>
      <c r="J90">
        <v>1</v>
      </c>
      <c r="K90">
        <f t="shared" si="10"/>
        <v>0.97916666666666663</v>
      </c>
      <c r="L90" s="2" t="s">
        <v>61</v>
      </c>
      <c r="M90" s="5">
        <v>0.05</v>
      </c>
      <c r="N90">
        <f t="shared" si="11"/>
        <v>1.028125</v>
      </c>
      <c r="O90" s="3">
        <v>0</v>
      </c>
      <c r="P90">
        <f t="shared" si="12"/>
        <v>1.028125</v>
      </c>
      <c r="Q90" s="4">
        <f t="shared" si="13"/>
        <v>2</v>
      </c>
      <c r="R90">
        <v>47</v>
      </c>
      <c r="S90">
        <f t="shared" si="14"/>
        <v>1.0208333333333335</v>
      </c>
      <c r="T90">
        <f>IF(C90="","",InventoryTable[[#This Row],[Profit per Unit]]*InventoryTable[[#This Row],[Total Pieces]])</f>
        <v>49.000000000000007</v>
      </c>
      <c r="U90">
        <f t="shared" si="17"/>
        <v>0</v>
      </c>
      <c r="V90">
        <f>IF(C90="","",H90-InventoryTable[[#This Row],[Units Sold]])</f>
        <v>48</v>
      </c>
      <c r="W90">
        <f t="shared" si="15"/>
        <v>0</v>
      </c>
      <c r="X90">
        <f t="shared" si="16"/>
        <v>0</v>
      </c>
      <c r="Y90" t="str">
        <f>IF(C90="","",IF(InventoryTable[[#This Row],[Stock Balance]]&lt;=0,"Sold Out",IF((InventoryTable[[#This Row],[Stock Balance]]/InventoryTable[[#This Row],[Total Pieces]])&lt;=0.25,"Low on Stocks","Available")))</f>
        <v>Available</v>
      </c>
    </row>
    <row r="91" spans="1:25" x14ac:dyDescent="0.3">
      <c r="A91" t="str">
        <f>IF(C91="","",_xlfn.CONCAT(LEFT(InventoryTable[[#This Row],[Category]],1),InventoryTable[[#This Row],[Product Pricing Type]],ROW()))</f>
        <v>FFM91</v>
      </c>
      <c r="B91" s="7">
        <v>46268</v>
      </c>
      <c r="C91" t="s">
        <v>271</v>
      </c>
      <c r="D91" t="s">
        <v>163</v>
      </c>
      <c r="E91" t="s">
        <v>360</v>
      </c>
      <c r="F91">
        <v>1</v>
      </c>
      <c r="G91">
        <v>33</v>
      </c>
      <c r="H91">
        <f t="shared" si="9"/>
        <v>33</v>
      </c>
      <c r="I91">
        <v>5</v>
      </c>
      <c r="J91">
        <v>0</v>
      </c>
      <c r="K91">
        <f t="shared" si="10"/>
        <v>165</v>
      </c>
      <c r="L91" s="2" t="s">
        <v>61</v>
      </c>
      <c r="M91" s="5">
        <v>0</v>
      </c>
      <c r="N91">
        <f t="shared" si="11"/>
        <v>5</v>
      </c>
      <c r="O91" s="3">
        <v>0</v>
      </c>
      <c r="P91">
        <f t="shared" si="12"/>
        <v>5</v>
      </c>
      <c r="Q91" s="4">
        <f t="shared" si="13"/>
        <v>5</v>
      </c>
      <c r="R91">
        <v>90.5</v>
      </c>
      <c r="S91">
        <f t="shared" si="14"/>
        <v>2.2575757575757578</v>
      </c>
      <c r="T91">
        <f>IF(C91="","",InventoryTable[[#This Row],[Profit per Unit]]*InventoryTable[[#This Row],[Total Pieces]])</f>
        <v>74.5</v>
      </c>
      <c r="U91">
        <f t="shared" si="17"/>
        <v>0</v>
      </c>
      <c r="V91">
        <f>IF(C91="","",H91-InventoryTable[[#This Row],[Units Sold]])</f>
        <v>33</v>
      </c>
      <c r="W91">
        <f t="shared" si="15"/>
        <v>0</v>
      </c>
      <c r="X91">
        <f t="shared" si="16"/>
        <v>0</v>
      </c>
      <c r="Y91" t="str">
        <f>IF(C91="","",IF(InventoryTable[[#This Row],[Stock Balance]]&lt;=0,"Sold Out",IF((InventoryTable[[#This Row],[Stock Balance]]/InventoryTable[[#This Row],[Total Pieces]])&lt;=0.25,"Low on Stocks","Available")))</f>
        <v>Available</v>
      </c>
    </row>
    <row r="92" spans="1:25" x14ac:dyDescent="0.3">
      <c r="A92" t="str">
        <f>IF(C92="","",_xlfn.CONCAT(LEFT(InventoryTable[[#This Row],[Category]],1),InventoryTable[[#This Row],[Product Pricing Type]],ROW()))</f>
        <v>BFM92</v>
      </c>
      <c r="B92" s="7">
        <v>46268</v>
      </c>
      <c r="C92" t="s">
        <v>115</v>
      </c>
      <c r="D92" t="s">
        <v>173</v>
      </c>
      <c r="E92" t="s">
        <v>162</v>
      </c>
      <c r="F92">
        <v>1</v>
      </c>
      <c r="G92">
        <v>52</v>
      </c>
      <c r="H92">
        <f t="shared" si="9"/>
        <v>52</v>
      </c>
      <c r="I92">
        <v>83.75</v>
      </c>
      <c r="J92">
        <v>1</v>
      </c>
      <c r="K92">
        <f t="shared" si="10"/>
        <v>1.6105769230769231</v>
      </c>
      <c r="L92" s="2" t="s">
        <v>61</v>
      </c>
      <c r="M92" s="5">
        <v>0.05</v>
      </c>
      <c r="N92">
        <f t="shared" si="11"/>
        <v>1.6911057692307694</v>
      </c>
      <c r="O92" s="3">
        <v>0</v>
      </c>
      <c r="P92">
        <f t="shared" si="12"/>
        <v>1.6911057692307694</v>
      </c>
      <c r="Q92" s="4">
        <f t="shared" si="13"/>
        <v>2</v>
      </c>
      <c r="R92">
        <v>0</v>
      </c>
      <c r="S92">
        <f t="shared" si="14"/>
        <v>0.38942307692307687</v>
      </c>
      <c r="T92">
        <f>IF(C92="","",InventoryTable[[#This Row],[Profit per Unit]]*InventoryTable[[#This Row],[Total Pieces]])</f>
        <v>20.249999999999996</v>
      </c>
      <c r="U92">
        <v>6</v>
      </c>
      <c r="V92">
        <f>IF(C92="","",H92-InventoryTable[[#This Row],[Units Sold]])</f>
        <v>46</v>
      </c>
      <c r="W92">
        <f t="shared" si="15"/>
        <v>12</v>
      </c>
      <c r="X92">
        <f t="shared" si="16"/>
        <v>2.3365384615384612</v>
      </c>
      <c r="Y92" t="str">
        <f>IF(C92="","",IF(InventoryTable[[#This Row],[Stock Balance]]&lt;=0,"Sold Out",IF((InventoryTable[[#This Row],[Stock Balance]]/InventoryTable[[#This Row],[Total Pieces]])&lt;=0.25,"Low on Stocks","Available")))</f>
        <v>Available</v>
      </c>
    </row>
    <row r="93" spans="1:25" x14ac:dyDescent="0.3">
      <c r="A93" t="str">
        <f>IF(C93="","",_xlfn.CONCAT(LEFT(InventoryTable[[#This Row],[Category]],1),InventoryTable[[#This Row],[Product Pricing Type]],ROW()))</f>
        <v>NFM93</v>
      </c>
      <c r="B93" s="7">
        <v>46268</v>
      </c>
      <c r="C93" t="s">
        <v>92</v>
      </c>
      <c r="D93" t="s">
        <v>174</v>
      </c>
      <c r="E93" t="s">
        <v>175</v>
      </c>
      <c r="F93">
        <v>1</v>
      </c>
      <c r="G93">
        <v>2</v>
      </c>
      <c r="H93">
        <f t="shared" si="9"/>
        <v>2</v>
      </c>
      <c r="I93">
        <v>45.2</v>
      </c>
      <c r="J93">
        <v>1</v>
      </c>
      <c r="K93">
        <f t="shared" si="10"/>
        <v>22.6</v>
      </c>
      <c r="L93" s="2" t="s">
        <v>61</v>
      </c>
      <c r="M93" s="5">
        <v>0.05</v>
      </c>
      <c r="N93">
        <f t="shared" si="11"/>
        <v>23.73</v>
      </c>
      <c r="O93" s="3">
        <v>0.05</v>
      </c>
      <c r="P93">
        <f t="shared" si="12"/>
        <v>24.916499999999999</v>
      </c>
      <c r="Q93" s="4">
        <f t="shared" si="13"/>
        <v>25</v>
      </c>
      <c r="R93">
        <v>0</v>
      </c>
      <c r="S93">
        <f t="shared" si="14"/>
        <v>2.3999999999999986</v>
      </c>
      <c r="T93">
        <f>IF(C93="","",InventoryTable[[#This Row],[Profit per Unit]]*InventoryTable[[#This Row],[Total Pieces]])</f>
        <v>4.7999999999999972</v>
      </c>
      <c r="U93">
        <f t="shared" si="17"/>
        <v>0</v>
      </c>
      <c r="V93">
        <f>IF(C93="","",H93-InventoryTable[[#This Row],[Units Sold]])</f>
        <v>2</v>
      </c>
      <c r="W93">
        <f t="shared" si="15"/>
        <v>0</v>
      </c>
      <c r="X93">
        <f t="shared" si="16"/>
        <v>0</v>
      </c>
      <c r="Y93" t="str">
        <f>IF(C93="","",IF(InventoryTable[[#This Row],[Stock Balance]]&lt;=0,"Sold Out",IF((InventoryTable[[#This Row],[Stock Balance]]/InventoryTable[[#This Row],[Total Pieces]])&lt;=0.25,"Low on Stocks","Available")))</f>
        <v>Available</v>
      </c>
    </row>
    <row r="94" spans="1:25" x14ac:dyDescent="0.3">
      <c r="A94" t="str">
        <f>IF(C94="","",_xlfn.CONCAT(LEFT(InventoryTable[[#This Row],[Category]],1),InventoryTable[[#This Row],[Product Pricing Type]],ROW()))</f>
        <v>MFM94</v>
      </c>
      <c r="B94" s="7">
        <v>46268</v>
      </c>
      <c r="C94" t="s">
        <v>112</v>
      </c>
      <c r="D94" t="s">
        <v>86</v>
      </c>
      <c r="E94" t="s">
        <v>176</v>
      </c>
      <c r="F94">
        <v>1</v>
      </c>
      <c r="G94">
        <v>12</v>
      </c>
      <c r="H94">
        <f t="shared" si="9"/>
        <v>12</v>
      </c>
      <c r="I94">
        <v>178.2</v>
      </c>
      <c r="J94">
        <v>1</v>
      </c>
      <c r="K94">
        <f t="shared" si="10"/>
        <v>14.85</v>
      </c>
      <c r="L94" s="2" t="s">
        <v>61</v>
      </c>
      <c r="M94" s="5">
        <v>0.05</v>
      </c>
      <c r="N94">
        <f t="shared" si="11"/>
        <v>15.592499999999999</v>
      </c>
      <c r="O94" s="3">
        <v>0.05</v>
      </c>
      <c r="P94">
        <f t="shared" si="12"/>
        <v>16.372125</v>
      </c>
      <c r="Q94" s="4">
        <f t="shared" si="13"/>
        <v>17</v>
      </c>
      <c r="R94">
        <v>0</v>
      </c>
      <c r="S94">
        <f t="shared" si="14"/>
        <v>2.1500000000000004</v>
      </c>
      <c r="T94">
        <f>IF(C94="","",InventoryTable[[#This Row],[Profit per Unit]]*InventoryTable[[#This Row],[Total Pieces]])</f>
        <v>25.800000000000004</v>
      </c>
      <c r="U94">
        <f t="shared" si="17"/>
        <v>0</v>
      </c>
      <c r="V94">
        <f>IF(C94="","",H94-InventoryTable[[#This Row],[Units Sold]])</f>
        <v>12</v>
      </c>
      <c r="W94">
        <f t="shared" si="15"/>
        <v>0</v>
      </c>
      <c r="X94">
        <f t="shared" si="16"/>
        <v>0</v>
      </c>
      <c r="Y94" t="str">
        <f>IF(C94="","",IF(InventoryTable[[#This Row],[Stock Balance]]&lt;=0,"Sold Out",IF((InventoryTable[[#This Row],[Stock Balance]]/InventoryTable[[#This Row],[Total Pieces]])&lt;=0.25,"Low on Stocks","Available")))</f>
        <v>Available</v>
      </c>
    </row>
    <row r="95" spans="1:25" x14ac:dyDescent="0.3">
      <c r="A95" t="str">
        <f>IF(C95="","",_xlfn.CONCAT(LEFT(InventoryTable[[#This Row],[Category]],1),InventoryTable[[#This Row],[Product Pricing Type]],ROW()))</f>
        <v>BFM95</v>
      </c>
      <c r="B95" s="7">
        <v>46268</v>
      </c>
      <c r="C95" t="s">
        <v>115</v>
      </c>
      <c r="D95" t="s">
        <v>177</v>
      </c>
      <c r="E95" t="s">
        <v>80</v>
      </c>
      <c r="F95">
        <v>1</v>
      </c>
      <c r="G95">
        <v>10</v>
      </c>
      <c r="H95">
        <f t="shared" si="9"/>
        <v>10</v>
      </c>
      <c r="I95">
        <v>60</v>
      </c>
      <c r="J95">
        <v>1</v>
      </c>
      <c r="K95">
        <f t="shared" si="10"/>
        <v>6</v>
      </c>
      <c r="L95" s="2" t="s">
        <v>61</v>
      </c>
      <c r="M95" s="5">
        <v>0.05</v>
      </c>
      <c r="N95">
        <f t="shared" si="11"/>
        <v>6.3</v>
      </c>
      <c r="O95" s="3">
        <v>0.1</v>
      </c>
      <c r="P95">
        <f t="shared" si="12"/>
        <v>6.93</v>
      </c>
      <c r="Q95" s="4">
        <f t="shared" si="13"/>
        <v>7</v>
      </c>
      <c r="R95">
        <v>0</v>
      </c>
      <c r="S95">
        <f t="shared" si="14"/>
        <v>1</v>
      </c>
      <c r="T95">
        <f>IF(C95="","",InventoryTable[[#This Row],[Profit per Unit]]*InventoryTable[[#This Row],[Total Pieces]])</f>
        <v>10</v>
      </c>
      <c r="U95">
        <f t="shared" si="17"/>
        <v>0</v>
      </c>
      <c r="V95">
        <f>IF(C95="","",H95-InventoryTable[[#This Row],[Units Sold]])</f>
        <v>10</v>
      </c>
      <c r="W95">
        <f t="shared" si="15"/>
        <v>0</v>
      </c>
      <c r="X95">
        <f t="shared" si="16"/>
        <v>0</v>
      </c>
      <c r="Y95" t="str">
        <f>IF(C95="","",IF(InventoryTable[[#This Row],[Stock Balance]]&lt;=0,"Sold Out",IF((InventoryTable[[#This Row],[Stock Balance]]/InventoryTable[[#This Row],[Total Pieces]])&lt;=0.25,"Low on Stocks","Available")))</f>
        <v>Available</v>
      </c>
    </row>
    <row r="96" spans="1:25" x14ac:dyDescent="0.3">
      <c r="A96" t="str">
        <f>IF(C96="","",_xlfn.CONCAT(LEFT(InventoryTable[[#This Row],[Category]],1),InventoryTable[[#This Row],[Product Pricing Type]],ROW()))</f>
        <v>BFM96</v>
      </c>
      <c r="B96" s="7">
        <v>46268</v>
      </c>
      <c r="C96" t="s">
        <v>115</v>
      </c>
      <c r="D96" t="s">
        <v>178</v>
      </c>
      <c r="E96" t="s">
        <v>179</v>
      </c>
      <c r="F96">
        <v>1</v>
      </c>
      <c r="G96">
        <v>10</v>
      </c>
      <c r="H96">
        <f t="shared" si="9"/>
        <v>10</v>
      </c>
      <c r="I96">
        <v>29</v>
      </c>
      <c r="J96">
        <v>1</v>
      </c>
      <c r="K96">
        <f t="shared" si="10"/>
        <v>2.9</v>
      </c>
      <c r="L96" s="2" t="s">
        <v>61</v>
      </c>
      <c r="M96" s="5">
        <v>0.05</v>
      </c>
      <c r="N96">
        <f t="shared" si="11"/>
        <v>3.0449999999999999</v>
      </c>
      <c r="O96" s="3">
        <v>0.1</v>
      </c>
      <c r="P96">
        <f t="shared" si="12"/>
        <v>3.3494999999999999</v>
      </c>
      <c r="Q96" s="4">
        <f t="shared" si="13"/>
        <v>4</v>
      </c>
      <c r="R96">
        <v>0</v>
      </c>
      <c r="S96">
        <f t="shared" si="14"/>
        <v>1.1000000000000001</v>
      </c>
      <c r="T96">
        <f>IF(C96="","",InventoryTable[[#This Row],[Profit per Unit]]*InventoryTable[[#This Row],[Total Pieces]])</f>
        <v>11</v>
      </c>
      <c r="U96">
        <f t="shared" si="17"/>
        <v>0</v>
      </c>
      <c r="V96">
        <f>IF(C96="","",H96-InventoryTable[[#This Row],[Units Sold]])</f>
        <v>10</v>
      </c>
      <c r="W96">
        <f t="shared" si="15"/>
        <v>0</v>
      </c>
      <c r="X96">
        <f t="shared" si="16"/>
        <v>0</v>
      </c>
      <c r="Y96" t="str">
        <f>IF(C96="","",IF(InventoryTable[[#This Row],[Stock Balance]]&lt;=0,"Sold Out",IF((InventoryTable[[#This Row],[Stock Balance]]/InventoryTable[[#This Row],[Total Pieces]])&lt;=0.25,"Low on Stocks","Available")))</f>
        <v>Available</v>
      </c>
    </row>
    <row r="97" spans="1:25" x14ac:dyDescent="0.3">
      <c r="A97" t="str">
        <f>IF(C97="","",_xlfn.CONCAT(LEFT(InventoryTable[[#This Row],[Category]],1),InventoryTable[[#This Row],[Product Pricing Type]],ROW()))</f>
        <v>BFM97</v>
      </c>
      <c r="B97" s="7">
        <v>46268</v>
      </c>
      <c r="C97" t="s">
        <v>115</v>
      </c>
      <c r="D97" t="s">
        <v>178</v>
      </c>
      <c r="E97" t="s">
        <v>180</v>
      </c>
      <c r="F97">
        <v>1</v>
      </c>
      <c r="G97">
        <v>10</v>
      </c>
      <c r="H97">
        <f t="shared" si="9"/>
        <v>10</v>
      </c>
      <c r="I97">
        <v>29</v>
      </c>
      <c r="J97">
        <v>1</v>
      </c>
      <c r="K97">
        <f t="shared" si="10"/>
        <v>2.9</v>
      </c>
      <c r="L97" s="2" t="s">
        <v>61</v>
      </c>
      <c r="M97" s="5">
        <v>0.05</v>
      </c>
      <c r="N97">
        <f t="shared" si="11"/>
        <v>3.0449999999999999</v>
      </c>
      <c r="O97" s="3">
        <v>0.1</v>
      </c>
      <c r="P97">
        <f t="shared" si="12"/>
        <v>3.3494999999999999</v>
      </c>
      <c r="Q97" s="4">
        <f t="shared" si="13"/>
        <v>4</v>
      </c>
      <c r="R97">
        <v>0</v>
      </c>
      <c r="S97">
        <f t="shared" si="14"/>
        <v>1.1000000000000001</v>
      </c>
      <c r="T97">
        <f>IF(C97="","",InventoryTable[[#This Row],[Profit per Unit]]*InventoryTable[[#This Row],[Total Pieces]])</f>
        <v>11</v>
      </c>
      <c r="U97">
        <f t="shared" si="17"/>
        <v>0</v>
      </c>
      <c r="V97">
        <f>IF(C97="","",H97-InventoryTable[[#This Row],[Units Sold]])</f>
        <v>10</v>
      </c>
      <c r="W97">
        <f t="shared" si="15"/>
        <v>0</v>
      </c>
      <c r="X97">
        <f t="shared" si="16"/>
        <v>0</v>
      </c>
      <c r="Y97" t="str">
        <f>IF(C97="","",IF(InventoryTable[[#This Row],[Stock Balance]]&lt;=0,"Sold Out",IF((InventoryTable[[#This Row],[Stock Balance]]/InventoryTable[[#This Row],[Total Pieces]])&lt;=0.25,"Low on Stocks","Available")))</f>
        <v>Available</v>
      </c>
    </row>
    <row r="98" spans="1:25" x14ac:dyDescent="0.3">
      <c r="A98" t="str">
        <f>IF(C98="","",_xlfn.CONCAT(LEFT(InventoryTable[[#This Row],[Category]],1),InventoryTable[[#This Row],[Product Pricing Type]],ROW()))</f>
        <v>FFM98</v>
      </c>
      <c r="B98" s="7">
        <v>46268</v>
      </c>
      <c r="C98" t="s">
        <v>271</v>
      </c>
      <c r="D98" t="s">
        <v>142</v>
      </c>
      <c r="E98" t="s">
        <v>181</v>
      </c>
      <c r="F98">
        <v>1</v>
      </c>
      <c r="G98">
        <v>16</v>
      </c>
      <c r="H98">
        <f t="shared" si="9"/>
        <v>16</v>
      </c>
      <c r="I98">
        <v>5</v>
      </c>
      <c r="J98">
        <v>0</v>
      </c>
      <c r="K98">
        <f t="shared" si="10"/>
        <v>80</v>
      </c>
      <c r="L98" s="2" t="s">
        <v>61</v>
      </c>
      <c r="M98" s="5">
        <v>0</v>
      </c>
      <c r="N98">
        <f t="shared" si="11"/>
        <v>5</v>
      </c>
      <c r="O98" s="3">
        <v>0</v>
      </c>
      <c r="P98">
        <f t="shared" si="12"/>
        <v>5</v>
      </c>
      <c r="Q98" s="4">
        <f t="shared" si="13"/>
        <v>5</v>
      </c>
      <c r="R98">
        <v>39.75</v>
      </c>
      <c r="S98">
        <f t="shared" si="14"/>
        <v>2.515625</v>
      </c>
      <c r="T98">
        <f>IF(C98="","",InventoryTable[[#This Row],[Profit per Unit]]*InventoryTable[[#This Row],[Total Pieces]])</f>
        <v>40.25</v>
      </c>
      <c r="U98">
        <f t="shared" si="17"/>
        <v>0</v>
      </c>
      <c r="V98">
        <f>IF(C98="","",H98-InventoryTable[[#This Row],[Units Sold]])</f>
        <v>16</v>
      </c>
      <c r="W98">
        <f t="shared" si="15"/>
        <v>0</v>
      </c>
      <c r="X98">
        <f t="shared" si="16"/>
        <v>0</v>
      </c>
      <c r="Y98" t="str">
        <f>IF(C98="","",IF(InventoryTable[[#This Row],[Stock Balance]]&lt;=0,"Sold Out",IF((InventoryTable[[#This Row],[Stock Balance]]/InventoryTable[[#This Row],[Total Pieces]])&lt;=0.25,"Low on Stocks","Available")))</f>
        <v>Available</v>
      </c>
    </row>
    <row r="99" spans="1:25" x14ac:dyDescent="0.3">
      <c r="A99" t="str">
        <f>IF(C99="","",_xlfn.CONCAT(LEFT(InventoryTable[[#This Row],[Category]],1),InventoryTable[[#This Row],[Product Pricing Type]],ROW()))</f>
        <v>CFM99</v>
      </c>
      <c r="B99" s="7">
        <v>46268</v>
      </c>
      <c r="C99" t="s">
        <v>141</v>
      </c>
      <c r="D99" t="s">
        <v>182</v>
      </c>
      <c r="E99" t="s">
        <v>183</v>
      </c>
      <c r="F99">
        <v>1</v>
      </c>
      <c r="G99">
        <v>12</v>
      </c>
      <c r="H99">
        <f t="shared" si="9"/>
        <v>12</v>
      </c>
      <c r="I99">
        <v>60</v>
      </c>
      <c r="J99">
        <v>1</v>
      </c>
      <c r="K99">
        <f t="shared" si="10"/>
        <v>5</v>
      </c>
      <c r="L99" s="2" t="s">
        <v>61</v>
      </c>
      <c r="M99" s="5">
        <v>0.05</v>
      </c>
      <c r="N99">
        <f t="shared" si="11"/>
        <v>5.25</v>
      </c>
      <c r="O99" s="3">
        <v>0.1</v>
      </c>
      <c r="P99">
        <f t="shared" si="12"/>
        <v>5.7750000000000004</v>
      </c>
      <c r="Q99" s="4">
        <f t="shared" si="13"/>
        <v>6</v>
      </c>
      <c r="R99">
        <v>0</v>
      </c>
      <c r="S99">
        <f t="shared" si="14"/>
        <v>1</v>
      </c>
      <c r="T99">
        <f>IF(C99="","",InventoryTable[[#This Row],[Profit per Unit]]*InventoryTable[[#This Row],[Total Pieces]])</f>
        <v>12</v>
      </c>
      <c r="U99">
        <f t="shared" si="17"/>
        <v>0</v>
      </c>
      <c r="V99">
        <f>IF(C99="","",H99-InventoryTable[[#This Row],[Units Sold]])</f>
        <v>12</v>
      </c>
      <c r="W99">
        <f t="shared" si="15"/>
        <v>0</v>
      </c>
      <c r="X99">
        <f t="shared" si="16"/>
        <v>0</v>
      </c>
      <c r="Y99" t="str">
        <f>IF(C99="","",IF(InventoryTable[[#This Row],[Stock Balance]]&lt;=0,"Sold Out",IF((InventoryTable[[#This Row],[Stock Balance]]/InventoryTable[[#This Row],[Total Pieces]])&lt;=0.25,"Low on Stocks","Available")))</f>
        <v>Available</v>
      </c>
    </row>
    <row r="100" spans="1:25" x14ac:dyDescent="0.3">
      <c r="A100" t="str">
        <f>IF(C100="","",_xlfn.CONCAT(LEFT(InventoryTable[[#This Row],[Category]],1),InventoryTable[[#This Row],[Product Pricing Type]],ROW()))</f>
        <v>BFM100</v>
      </c>
      <c r="B100" s="7">
        <v>46268</v>
      </c>
      <c r="C100" t="s">
        <v>115</v>
      </c>
      <c r="D100" t="s">
        <v>184</v>
      </c>
      <c r="E100" t="s">
        <v>164</v>
      </c>
      <c r="F100">
        <v>1</v>
      </c>
      <c r="G100">
        <v>10</v>
      </c>
      <c r="H100">
        <f t="shared" si="9"/>
        <v>10</v>
      </c>
      <c r="I100">
        <v>72.5</v>
      </c>
      <c r="J100">
        <v>1</v>
      </c>
      <c r="K100">
        <f t="shared" si="10"/>
        <v>7.25</v>
      </c>
      <c r="L100" s="2" t="s">
        <v>61</v>
      </c>
      <c r="M100" s="5">
        <v>0.05</v>
      </c>
      <c r="N100">
        <f t="shared" si="11"/>
        <v>7.6124999999999998</v>
      </c>
      <c r="O100" s="3">
        <v>0.1</v>
      </c>
      <c r="P100">
        <f t="shared" si="12"/>
        <v>8.3737499999999994</v>
      </c>
      <c r="Q100" s="4">
        <f t="shared" si="13"/>
        <v>9</v>
      </c>
      <c r="R100">
        <v>0</v>
      </c>
      <c r="S100">
        <f t="shared" si="14"/>
        <v>1.75</v>
      </c>
      <c r="T100">
        <f>IF(C100="","",InventoryTable[[#This Row],[Profit per Unit]]*InventoryTable[[#This Row],[Total Pieces]])</f>
        <v>17.5</v>
      </c>
      <c r="U100">
        <f t="shared" si="17"/>
        <v>0</v>
      </c>
      <c r="V100">
        <f>IF(C100="","",H100-InventoryTable[[#This Row],[Units Sold]])</f>
        <v>10</v>
      </c>
      <c r="W100">
        <f t="shared" si="15"/>
        <v>0</v>
      </c>
      <c r="X100">
        <f t="shared" si="16"/>
        <v>0</v>
      </c>
      <c r="Y100" t="str">
        <f>IF(C100="","",IF(InventoryTable[[#This Row],[Stock Balance]]&lt;=0,"Sold Out",IF((InventoryTable[[#This Row],[Stock Balance]]/InventoryTable[[#This Row],[Total Pieces]])&lt;=0.25,"Low on Stocks","Available")))</f>
        <v>Available</v>
      </c>
    </row>
    <row r="101" spans="1:25" x14ac:dyDescent="0.3">
      <c r="A101" t="str">
        <f>IF(C101="","",_xlfn.CONCAT(LEFT(InventoryTable[[#This Row],[Category]],1),InventoryTable[[#This Row],[Product Pricing Type]],ROW()))</f>
        <v>BFM101</v>
      </c>
      <c r="B101" s="7">
        <v>46268</v>
      </c>
      <c r="C101" t="s">
        <v>115</v>
      </c>
      <c r="D101" t="s">
        <v>185</v>
      </c>
      <c r="E101" t="s">
        <v>156</v>
      </c>
      <c r="F101">
        <v>1</v>
      </c>
      <c r="G101">
        <v>10</v>
      </c>
      <c r="H101">
        <f t="shared" si="9"/>
        <v>10</v>
      </c>
      <c r="I101">
        <v>61.25</v>
      </c>
      <c r="J101">
        <v>1</v>
      </c>
      <c r="K101">
        <f t="shared" si="10"/>
        <v>6.125</v>
      </c>
      <c r="L101" s="2" t="s">
        <v>61</v>
      </c>
      <c r="M101" s="5">
        <v>0.05</v>
      </c>
      <c r="N101">
        <f t="shared" si="11"/>
        <v>6.4312500000000004</v>
      </c>
      <c r="O101" s="3">
        <v>0.1</v>
      </c>
      <c r="P101">
        <f t="shared" si="12"/>
        <v>7.0743750000000007</v>
      </c>
      <c r="Q101" s="4">
        <f t="shared" si="13"/>
        <v>8</v>
      </c>
      <c r="R101">
        <v>0</v>
      </c>
      <c r="S101">
        <f t="shared" si="14"/>
        <v>1.875</v>
      </c>
      <c r="T101">
        <f>IF(C101="","",InventoryTable[[#This Row],[Profit per Unit]]*InventoryTable[[#This Row],[Total Pieces]])</f>
        <v>18.75</v>
      </c>
      <c r="U101">
        <f t="shared" si="17"/>
        <v>0</v>
      </c>
      <c r="V101">
        <f>IF(C101="","",H101-InventoryTable[[#This Row],[Units Sold]])</f>
        <v>10</v>
      </c>
      <c r="W101">
        <f t="shared" si="15"/>
        <v>0</v>
      </c>
      <c r="X101">
        <f t="shared" si="16"/>
        <v>0</v>
      </c>
      <c r="Y101" t="str">
        <f>IF(C101="","",IF(InventoryTable[[#This Row],[Stock Balance]]&lt;=0,"Sold Out",IF((InventoryTable[[#This Row],[Stock Balance]]/InventoryTable[[#This Row],[Total Pieces]])&lt;=0.25,"Low on Stocks","Available")))</f>
        <v>Available</v>
      </c>
    </row>
    <row r="102" spans="1:25" x14ac:dyDescent="0.3">
      <c r="A102" t="str">
        <f>IF(C102="","",_xlfn.CONCAT(LEFT(InventoryTable[[#This Row],[Category]],1),InventoryTable[[#This Row],[Product Pricing Type]],ROW()))</f>
        <v>FFM102</v>
      </c>
      <c r="B102" s="7">
        <v>46268</v>
      </c>
      <c r="C102" t="s">
        <v>271</v>
      </c>
      <c r="D102" t="s">
        <v>186</v>
      </c>
      <c r="E102" t="s">
        <v>162</v>
      </c>
      <c r="F102">
        <v>1</v>
      </c>
      <c r="G102">
        <v>16</v>
      </c>
      <c r="H102">
        <f t="shared" si="9"/>
        <v>16</v>
      </c>
      <c r="I102">
        <v>5</v>
      </c>
      <c r="J102">
        <v>0</v>
      </c>
      <c r="K102">
        <f t="shared" si="10"/>
        <v>80</v>
      </c>
      <c r="L102" s="2" t="s">
        <v>61</v>
      </c>
      <c r="M102" s="5">
        <v>0</v>
      </c>
      <c r="N102">
        <f t="shared" si="11"/>
        <v>5</v>
      </c>
      <c r="O102" s="3">
        <v>0</v>
      </c>
      <c r="P102">
        <f t="shared" si="12"/>
        <v>5</v>
      </c>
      <c r="Q102" s="4">
        <f t="shared" si="13"/>
        <v>5</v>
      </c>
      <c r="R102">
        <v>41</v>
      </c>
      <c r="S102">
        <f t="shared" si="14"/>
        <v>2.4375</v>
      </c>
      <c r="T102">
        <f>IF(C102="","",InventoryTable[[#This Row],[Profit per Unit]]*InventoryTable[[#This Row],[Total Pieces]])</f>
        <v>39</v>
      </c>
      <c r="U102">
        <f t="shared" si="17"/>
        <v>0</v>
      </c>
      <c r="V102">
        <f>IF(C102="","",H102-InventoryTable[[#This Row],[Units Sold]])</f>
        <v>16</v>
      </c>
      <c r="W102">
        <f t="shared" si="15"/>
        <v>0</v>
      </c>
      <c r="X102">
        <f t="shared" si="16"/>
        <v>0</v>
      </c>
      <c r="Y102" t="str">
        <f>IF(C102="","",IF(InventoryTable[[#This Row],[Stock Balance]]&lt;=0,"Sold Out",IF((InventoryTable[[#This Row],[Stock Balance]]/InventoryTable[[#This Row],[Total Pieces]])&lt;=0.25,"Low on Stocks","Available")))</f>
        <v>Available</v>
      </c>
    </row>
    <row r="103" spans="1:25" x14ac:dyDescent="0.3">
      <c r="A103" t="str">
        <f>IF(C103="","",_xlfn.CONCAT(LEFT(InventoryTable[[#This Row],[Category]],1),InventoryTable[[#This Row],[Product Pricing Type]],ROW()))</f>
        <v>MFM103</v>
      </c>
      <c r="B103" s="7">
        <v>46268</v>
      </c>
      <c r="C103" t="s">
        <v>187</v>
      </c>
      <c r="D103" t="s">
        <v>188</v>
      </c>
      <c r="E103" t="s">
        <v>189</v>
      </c>
      <c r="F103">
        <v>1</v>
      </c>
      <c r="G103">
        <v>6</v>
      </c>
      <c r="H103">
        <f t="shared" si="9"/>
        <v>6</v>
      </c>
      <c r="I103">
        <v>11</v>
      </c>
      <c r="J103">
        <v>0</v>
      </c>
      <c r="K103">
        <f t="shared" si="10"/>
        <v>66</v>
      </c>
      <c r="L103" s="2" t="s">
        <v>61</v>
      </c>
      <c r="M103" s="5">
        <v>0.05</v>
      </c>
      <c r="N103">
        <f t="shared" si="11"/>
        <v>11.55</v>
      </c>
      <c r="O103" s="3">
        <v>0.1</v>
      </c>
      <c r="P103">
        <f t="shared" si="12"/>
        <v>12.705</v>
      </c>
      <c r="Q103" s="4">
        <f t="shared" si="13"/>
        <v>13</v>
      </c>
      <c r="R103">
        <v>0</v>
      </c>
      <c r="S103">
        <f t="shared" si="14"/>
        <v>2</v>
      </c>
      <c r="T103">
        <f>IF(C103="","",InventoryTable[[#This Row],[Profit per Unit]]*InventoryTable[[#This Row],[Total Pieces]])</f>
        <v>12</v>
      </c>
      <c r="U103">
        <f t="shared" si="17"/>
        <v>0</v>
      </c>
      <c r="V103">
        <f>IF(C103="","",H103-InventoryTable[[#This Row],[Units Sold]])</f>
        <v>6</v>
      </c>
      <c r="W103">
        <f t="shared" si="15"/>
        <v>0</v>
      </c>
      <c r="X103">
        <f t="shared" si="16"/>
        <v>0</v>
      </c>
      <c r="Y103" t="str">
        <f>IF(C103="","",IF(InventoryTable[[#This Row],[Stock Balance]]&lt;=0,"Sold Out",IF((InventoryTable[[#This Row],[Stock Balance]]/InventoryTable[[#This Row],[Total Pieces]])&lt;=0.25,"Low on Stocks","Available")))</f>
        <v>Available</v>
      </c>
    </row>
    <row r="104" spans="1:25" x14ac:dyDescent="0.3">
      <c r="A104" t="str">
        <f>IF(C104="","",_xlfn.CONCAT(LEFT(InventoryTable[[#This Row],[Category]],1),InventoryTable[[#This Row],[Product Pricing Type]],ROW()))</f>
        <v>DFM104</v>
      </c>
      <c r="B104" s="7">
        <v>46268</v>
      </c>
      <c r="C104" t="s">
        <v>190</v>
      </c>
      <c r="D104" t="s">
        <v>191</v>
      </c>
      <c r="E104" t="s">
        <v>192</v>
      </c>
      <c r="F104">
        <v>1</v>
      </c>
      <c r="G104">
        <v>6</v>
      </c>
      <c r="H104">
        <f t="shared" si="9"/>
        <v>6</v>
      </c>
      <c r="I104">
        <v>14</v>
      </c>
      <c r="J104">
        <v>0</v>
      </c>
      <c r="K104">
        <f t="shared" si="10"/>
        <v>84</v>
      </c>
      <c r="L104" s="2" t="s">
        <v>61</v>
      </c>
      <c r="M104" s="5">
        <v>0.05</v>
      </c>
      <c r="N104">
        <f t="shared" si="11"/>
        <v>14.7</v>
      </c>
      <c r="O104" s="3">
        <v>0.1</v>
      </c>
      <c r="P104">
        <f t="shared" si="12"/>
        <v>16.169999999999998</v>
      </c>
      <c r="Q104" s="4">
        <f t="shared" si="13"/>
        <v>17</v>
      </c>
      <c r="R104">
        <v>0</v>
      </c>
      <c r="S104">
        <f t="shared" si="14"/>
        <v>3</v>
      </c>
      <c r="T104">
        <f>IF(C104="","",InventoryTable[[#This Row],[Profit per Unit]]*InventoryTable[[#This Row],[Total Pieces]])</f>
        <v>18</v>
      </c>
      <c r="U104">
        <f t="shared" si="17"/>
        <v>0</v>
      </c>
      <c r="V104">
        <f>IF(C104="","",H104-InventoryTable[[#This Row],[Units Sold]])</f>
        <v>6</v>
      </c>
      <c r="W104">
        <f t="shared" si="15"/>
        <v>0</v>
      </c>
      <c r="X104">
        <f t="shared" si="16"/>
        <v>0</v>
      </c>
      <c r="Y104" t="str">
        <f>IF(C104="","",IF(InventoryTable[[#This Row],[Stock Balance]]&lt;=0,"Sold Out",IF((InventoryTable[[#This Row],[Stock Balance]]/InventoryTable[[#This Row],[Total Pieces]])&lt;=0.25,"Low on Stocks","Available")))</f>
        <v>Available</v>
      </c>
    </row>
    <row r="105" spans="1:25" x14ac:dyDescent="0.3">
      <c r="A105" t="str">
        <f>IF(C105="","",_xlfn.CONCAT(LEFT(InventoryTable[[#This Row],[Category]],1),InventoryTable[[#This Row],[Product Pricing Type]],ROW()))</f>
        <v>DNF105</v>
      </c>
      <c r="B105" s="7">
        <v>46268</v>
      </c>
      <c r="C105" t="s">
        <v>190</v>
      </c>
      <c r="D105" t="s">
        <v>193</v>
      </c>
      <c r="E105" t="s">
        <v>194</v>
      </c>
      <c r="F105">
        <v>1</v>
      </c>
      <c r="G105">
        <v>6</v>
      </c>
      <c r="H105">
        <f t="shared" si="9"/>
        <v>6</v>
      </c>
      <c r="I105">
        <v>122.75</v>
      </c>
      <c r="J105">
        <v>1</v>
      </c>
      <c r="K105">
        <f t="shared" si="10"/>
        <v>20.458333333333332</v>
      </c>
      <c r="L105" s="2" t="s">
        <v>62</v>
      </c>
      <c r="M105" s="5">
        <v>0.05</v>
      </c>
      <c r="N105">
        <f t="shared" si="11"/>
        <v>21.481249999999999</v>
      </c>
      <c r="O105" s="3">
        <v>0.25</v>
      </c>
      <c r="P105">
        <f t="shared" si="12"/>
        <v>26.8515625</v>
      </c>
      <c r="Q105" s="4">
        <f t="shared" si="13"/>
        <v>27</v>
      </c>
      <c r="R105">
        <v>0</v>
      </c>
      <c r="S105">
        <f t="shared" si="14"/>
        <v>6.5416666666666679</v>
      </c>
      <c r="T105">
        <f>IF(C105="","",InventoryTable[[#This Row],[Profit per Unit]]*InventoryTable[[#This Row],[Total Pieces]])</f>
        <v>39.250000000000007</v>
      </c>
      <c r="U105">
        <f t="shared" si="17"/>
        <v>0</v>
      </c>
      <c r="V105">
        <f>IF(C105="","",H105-InventoryTable[[#This Row],[Units Sold]])</f>
        <v>6</v>
      </c>
      <c r="W105">
        <f t="shared" si="15"/>
        <v>0</v>
      </c>
      <c r="X105">
        <f t="shared" si="16"/>
        <v>0</v>
      </c>
      <c r="Y105" t="str">
        <f>IF(C105="","",IF(InventoryTable[[#This Row],[Stock Balance]]&lt;=0,"Sold Out",IF((InventoryTable[[#This Row],[Stock Balance]]/InventoryTable[[#This Row],[Total Pieces]])&lt;=0.25,"Low on Stocks","Available")))</f>
        <v>Available</v>
      </c>
    </row>
    <row r="106" spans="1:25" x14ac:dyDescent="0.3">
      <c r="A106" t="str">
        <f>IF(C106="","",_xlfn.CONCAT(LEFT(InventoryTable[[#This Row],[Category]],1),InventoryTable[[#This Row],[Product Pricing Type]],ROW()))</f>
        <v>DFM106</v>
      </c>
      <c r="B106" s="7">
        <v>46268</v>
      </c>
      <c r="C106" t="s">
        <v>190</v>
      </c>
      <c r="D106" t="s">
        <v>195</v>
      </c>
      <c r="E106" t="s">
        <v>196</v>
      </c>
      <c r="F106">
        <v>1</v>
      </c>
      <c r="G106">
        <v>4</v>
      </c>
      <c r="H106">
        <f t="shared" si="9"/>
        <v>4</v>
      </c>
      <c r="I106">
        <v>80</v>
      </c>
      <c r="J106">
        <v>1</v>
      </c>
      <c r="K106">
        <f t="shared" si="10"/>
        <v>20</v>
      </c>
      <c r="L106" s="2" t="s">
        <v>61</v>
      </c>
      <c r="M106" s="5">
        <v>0.05</v>
      </c>
      <c r="N106">
        <f t="shared" si="11"/>
        <v>21</v>
      </c>
      <c r="O106" s="3">
        <v>0.1</v>
      </c>
      <c r="P106">
        <f t="shared" si="12"/>
        <v>23.1</v>
      </c>
      <c r="Q106" s="4">
        <f t="shared" si="13"/>
        <v>24</v>
      </c>
      <c r="R106">
        <v>0</v>
      </c>
      <c r="S106">
        <f t="shared" si="14"/>
        <v>4</v>
      </c>
      <c r="T106">
        <f>IF(C106="","",InventoryTable[[#This Row],[Profit per Unit]]*InventoryTable[[#This Row],[Total Pieces]])</f>
        <v>16</v>
      </c>
      <c r="U106">
        <f t="shared" si="17"/>
        <v>0</v>
      </c>
      <c r="V106">
        <f>IF(C106="","",H106-InventoryTable[[#This Row],[Units Sold]])</f>
        <v>4</v>
      </c>
      <c r="W106">
        <f t="shared" si="15"/>
        <v>0</v>
      </c>
      <c r="X106">
        <f t="shared" si="16"/>
        <v>0</v>
      </c>
      <c r="Y106" t="str">
        <f>IF(C106="","",IF(InventoryTable[[#This Row],[Stock Balance]]&lt;=0,"Sold Out",IF((InventoryTable[[#This Row],[Stock Balance]]/InventoryTable[[#This Row],[Total Pieces]])&lt;=0.25,"Low on Stocks","Available")))</f>
        <v>Available</v>
      </c>
    </row>
    <row r="107" spans="1:25" x14ac:dyDescent="0.3">
      <c r="A107" t="str">
        <f>IF(C107="","",_xlfn.CONCAT(LEFT(InventoryTable[[#This Row],[Category]],1),InventoryTable[[#This Row],[Product Pricing Type]],ROW()))</f>
        <v>DFM107</v>
      </c>
      <c r="B107" s="7">
        <v>46268</v>
      </c>
      <c r="C107" t="s">
        <v>190</v>
      </c>
      <c r="D107" t="s">
        <v>197</v>
      </c>
      <c r="E107" t="s">
        <v>105</v>
      </c>
      <c r="F107">
        <v>1</v>
      </c>
      <c r="G107">
        <v>12</v>
      </c>
      <c r="H107">
        <f t="shared" si="9"/>
        <v>12</v>
      </c>
      <c r="I107">
        <v>105.6</v>
      </c>
      <c r="J107">
        <v>1</v>
      </c>
      <c r="K107">
        <f t="shared" si="10"/>
        <v>8.7999999999999989</v>
      </c>
      <c r="L107" s="2" t="s">
        <v>61</v>
      </c>
      <c r="M107" s="5">
        <v>0.05</v>
      </c>
      <c r="N107">
        <f t="shared" si="11"/>
        <v>9.2399999999999984</v>
      </c>
      <c r="O107" s="3">
        <v>0.1</v>
      </c>
      <c r="P107">
        <f t="shared" si="12"/>
        <v>10.163999999999998</v>
      </c>
      <c r="Q107" s="4">
        <f t="shared" si="13"/>
        <v>11</v>
      </c>
      <c r="R107">
        <v>0</v>
      </c>
      <c r="S107">
        <f t="shared" si="14"/>
        <v>2.2000000000000011</v>
      </c>
      <c r="T107">
        <f>IF(C107="","",InventoryTable[[#This Row],[Profit per Unit]]*InventoryTable[[#This Row],[Total Pieces]])</f>
        <v>26.400000000000013</v>
      </c>
      <c r="U107">
        <f t="shared" si="17"/>
        <v>0</v>
      </c>
      <c r="V107">
        <f>IF(C107="","",H107-InventoryTable[[#This Row],[Units Sold]])</f>
        <v>12</v>
      </c>
      <c r="W107">
        <f t="shared" si="15"/>
        <v>0</v>
      </c>
      <c r="X107">
        <f t="shared" si="16"/>
        <v>0</v>
      </c>
      <c r="Y107" t="str">
        <f>IF(C107="","",IF(InventoryTable[[#This Row],[Stock Balance]]&lt;=0,"Sold Out",IF((InventoryTable[[#This Row],[Stock Balance]]/InventoryTable[[#This Row],[Total Pieces]])&lt;=0.25,"Low on Stocks","Available")))</f>
        <v>Available</v>
      </c>
    </row>
    <row r="108" spans="1:25" x14ac:dyDescent="0.3">
      <c r="A108" t="str">
        <f>IF(C108="","",_xlfn.CONCAT(LEFT(InventoryTable[[#This Row],[Category]],1),InventoryTable[[#This Row],[Product Pricing Type]],ROW()))</f>
        <v>NFM108</v>
      </c>
      <c r="B108" s="7">
        <v>46268</v>
      </c>
      <c r="C108" t="s">
        <v>92</v>
      </c>
      <c r="D108" t="s">
        <v>93</v>
      </c>
      <c r="E108" t="s">
        <v>198</v>
      </c>
      <c r="F108">
        <v>1</v>
      </c>
      <c r="G108">
        <v>3</v>
      </c>
      <c r="H108">
        <f t="shared" si="9"/>
        <v>3</v>
      </c>
      <c r="I108">
        <v>69</v>
      </c>
      <c r="J108">
        <v>1</v>
      </c>
      <c r="K108">
        <f t="shared" si="10"/>
        <v>23</v>
      </c>
      <c r="L108" s="2" t="s">
        <v>61</v>
      </c>
      <c r="M108" s="5">
        <v>0.05</v>
      </c>
      <c r="N108">
        <f t="shared" si="11"/>
        <v>24.15</v>
      </c>
      <c r="O108" s="3">
        <v>0.03</v>
      </c>
      <c r="P108">
        <f t="shared" si="12"/>
        <v>24.874499999999998</v>
      </c>
      <c r="Q108" s="4">
        <f t="shared" si="13"/>
        <v>25</v>
      </c>
      <c r="R108">
        <v>0</v>
      </c>
      <c r="S108">
        <f t="shared" si="14"/>
        <v>2</v>
      </c>
      <c r="T108">
        <f>IF(C108="","",InventoryTable[[#This Row],[Profit per Unit]]*InventoryTable[[#This Row],[Total Pieces]])</f>
        <v>6</v>
      </c>
      <c r="U108">
        <f t="shared" si="17"/>
        <v>0</v>
      </c>
      <c r="V108">
        <f>IF(C108="","",H108-InventoryTable[[#This Row],[Units Sold]])</f>
        <v>3</v>
      </c>
      <c r="W108">
        <f t="shared" si="15"/>
        <v>0</v>
      </c>
      <c r="X108">
        <f t="shared" si="16"/>
        <v>0</v>
      </c>
      <c r="Y108" t="str">
        <f>IF(C108="","",IF(InventoryTable[[#This Row],[Stock Balance]]&lt;=0,"Sold Out",IF((InventoryTable[[#This Row],[Stock Balance]]/InventoryTable[[#This Row],[Total Pieces]])&lt;=0.25,"Low on Stocks","Available")))</f>
        <v>Available</v>
      </c>
    </row>
    <row r="109" spans="1:25" x14ac:dyDescent="0.3">
      <c r="A109" t="str">
        <f>IF(C109="","",_xlfn.CONCAT(LEFT(InventoryTable[[#This Row],[Category]],1),InventoryTable[[#This Row],[Product Pricing Type]],ROW()))</f>
        <v>CFM109</v>
      </c>
      <c r="B109" s="7">
        <v>46268</v>
      </c>
      <c r="C109" t="s">
        <v>81</v>
      </c>
      <c r="D109" t="s">
        <v>199</v>
      </c>
      <c r="E109" t="s">
        <v>274</v>
      </c>
      <c r="F109">
        <v>1</v>
      </c>
      <c r="G109">
        <v>15</v>
      </c>
      <c r="H109">
        <f t="shared" si="9"/>
        <v>15</v>
      </c>
      <c r="I109">
        <f>120+70</f>
        <v>190</v>
      </c>
      <c r="J109">
        <v>1</v>
      </c>
      <c r="K109">
        <f t="shared" si="10"/>
        <v>12.666666666666666</v>
      </c>
      <c r="L109" s="2" t="s">
        <v>61</v>
      </c>
      <c r="M109" s="5">
        <v>0.05</v>
      </c>
      <c r="N109">
        <f t="shared" si="11"/>
        <v>13.299999999999999</v>
      </c>
      <c r="O109" s="3">
        <v>0.1</v>
      </c>
      <c r="P109">
        <f t="shared" si="12"/>
        <v>14.629999999999999</v>
      </c>
      <c r="Q109" s="4">
        <f t="shared" si="13"/>
        <v>15</v>
      </c>
      <c r="R109">
        <v>0</v>
      </c>
      <c r="S109">
        <f t="shared" si="14"/>
        <v>2.3333333333333339</v>
      </c>
      <c r="T109">
        <f>IF(C109="","",InventoryTable[[#This Row],[Profit per Unit]]*InventoryTable[[#This Row],[Total Pieces]])</f>
        <v>35.000000000000007</v>
      </c>
      <c r="U109">
        <f t="shared" si="17"/>
        <v>0</v>
      </c>
      <c r="V109">
        <f>IF(C109="","",H109-InventoryTable[[#This Row],[Units Sold]])</f>
        <v>15</v>
      </c>
      <c r="W109">
        <f t="shared" si="15"/>
        <v>0</v>
      </c>
      <c r="X109">
        <f t="shared" si="16"/>
        <v>0</v>
      </c>
      <c r="Y109" t="str">
        <f>IF(C109="","",IF(InventoryTable[[#This Row],[Stock Balance]]&lt;=0,"Sold Out",IF((InventoryTable[[#This Row],[Stock Balance]]/InventoryTable[[#This Row],[Total Pieces]])&lt;=0.25,"Low on Stocks","Available")))</f>
        <v>Available</v>
      </c>
    </row>
    <row r="110" spans="1:25" x14ac:dyDescent="0.3">
      <c r="A110" t="str">
        <f>IF(C110="","",_xlfn.CONCAT(LEFT(InventoryTable[[#This Row],[Category]],1),InventoryTable[[#This Row],[Product Pricing Type]],ROW()))</f>
        <v>GFM110</v>
      </c>
      <c r="B110" s="7">
        <v>46269</v>
      </c>
      <c r="C110" t="s">
        <v>388</v>
      </c>
      <c r="D110" t="s">
        <v>389</v>
      </c>
      <c r="E110" t="s">
        <v>214</v>
      </c>
      <c r="F110">
        <v>1</v>
      </c>
      <c r="G110">
        <v>12</v>
      </c>
      <c r="H110">
        <f t="shared" si="9"/>
        <v>12</v>
      </c>
      <c r="I110">
        <v>60</v>
      </c>
      <c r="J110">
        <v>1</v>
      </c>
      <c r="K110">
        <f t="shared" si="10"/>
        <v>5</v>
      </c>
      <c r="L110" s="2" t="s">
        <v>61</v>
      </c>
      <c r="M110" s="5">
        <v>0.05</v>
      </c>
      <c r="N110">
        <f t="shared" si="11"/>
        <v>5.25</v>
      </c>
      <c r="O110" s="3">
        <v>0.2</v>
      </c>
      <c r="P110">
        <f t="shared" si="12"/>
        <v>6.3</v>
      </c>
      <c r="Q110" s="4">
        <f t="shared" si="13"/>
        <v>7</v>
      </c>
      <c r="R110">
        <v>0</v>
      </c>
      <c r="S110">
        <f t="shared" si="14"/>
        <v>2</v>
      </c>
      <c r="T110">
        <f>IF(C110="","",InventoryTable[[#This Row],[Profit per Unit]]*InventoryTable[[#This Row],[Total Pieces]])</f>
        <v>24</v>
      </c>
      <c r="U110">
        <f t="shared" si="17"/>
        <v>0</v>
      </c>
      <c r="V110">
        <f>IF(C110="","",H110-InventoryTable[[#This Row],[Units Sold]])</f>
        <v>12</v>
      </c>
      <c r="W110">
        <f t="shared" si="15"/>
        <v>0</v>
      </c>
      <c r="X110">
        <f t="shared" si="16"/>
        <v>0</v>
      </c>
      <c r="Y110" t="str">
        <f>IF(C110="","",IF(InventoryTable[[#This Row],[Stock Balance]]&lt;=0,"Sold Out",IF((InventoryTable[[#This Row],[Stock Balance]]/InventoryTable[[#This Row],[Total Pieces]])&lt;=0.25,"Low on Stocks","Available")))</f>
        <v>Available</v>
      </c>
    </row>
    <row r="111" spans="1:25" x14ac:dyDescent="0.3">
      <c r="A111" t="str">
        <f>IF(C111="","",_xlfn.CONCAT(LEFT(InventoryTable[[#This Row],[Category]],1),InventoryTable[[#This Row],[Product Pricing Type]],ROW()))</f>
        <v>JFM111</v>
      </c>
      <c r="B111" s="7">
        <v>46269</v>
      </c>
      <c r="C111" t="s">
        <v>204</v>
      </c>
      <c r="D111" t="s">
        <v>205</v>
      </c>
      <c r="E111" t="s">
        <v>206</v>
      </c>
      <c r="F111">
        <v>1</v>
      </c>
      <c r="G111">
        <v>12</v>
      </c>
      <c r="H111">
        <f t="shared" si="9"/>
        <v>12</v>
      </c>
      <c r="I111" s="8">
        <v>233.4</v>
      </c>
      <c r="J111">
        <v>1</v>
      </c>
      <c r="K111">
        <f t="shared" si="10"/>
        <v>19.45</v>
      </c>
      <c r="L111" s="2" t="s">
        <v>61</v>
      </c>
      <c r="M111" s="5">
        <v>0.05</v>
      </c>
      <c r="N111">
        <f t="shared" si="11"/>
        <v>20.422499999999999</v>
      </c>
      <c r="O111" s="3">
        <v>0.05</v>
      </c>
      <c r="P111">
        <f t="shared" si="12"/>
        <v>21.443625000000001</v>
      </c>
      <c r="Q111" s="4">
        <f t="shared" si="13"/>
        <v>22</v>
      </c>
      <c r="R111">
        <v>0</v>
      </c>
      <c r="S111">
        <f t="shared" si="14"/>
        <v>2.5500000000000007</v>
      </c>
      <c r="T111">
        <f>IF(C111="","",InventoryTable[[#This Row],[Profit per Unit]]*InventoryTable[[#This Row],[Total Pieces]])</f>
        <v>30.600000000000009</v>
      </c>
      <c r="U111">
        <f t="shared" si="17"/>
        <v>0</v>
      </c>
      <c r="V111">
        <f>IF(C111="","",H111-InventoryTable[[#This Row],[Units Sold]])</f>
        <v>12</v>
      </c>
      <c r="W111">
        <f t="shared" si="15"/>
        <v>0</v>
      </c>
      <c r="X111">
        <f t="shared" si="16"/>
        <v>0</v>
      </c>
      <c r="Y111" t="str">
        <f>IF(C111="","",IF(InventoryTable[[#This Row],[Stock Balance]]&lt;=0,"Sold Out",IF((InventoryTable[[#This Row],[Stock Balance]]/InventoryTable[[#This Row],[Total Pieces]])&lt;=0.25,"Low on Stocks","Available")))</f>
        <v>Available</v>
      </c>
    </row>
    <row r="112" spans="1:25" x14ac:dyDescent="0.3">
      <c r="A112" t="str">
        <f>IF(C112="","",_xlfn.CONCAT(LEFT(InventoryTable[[#This Row],[Category]],1),InventoryTable[[#This Row],[Product Pricing Type]],ROW()))</f>
        <v>VFM112</v>
      </c>
      <c r="B112" s="7">
        <v>46269</v>
      </c>
      <c r="C112" t="s">
        <v>72</v>
      </c>
      <c r="D112" t="s">
        <v>70</v>
      </c>
      <c r="E112" t="s">
        <v>209</v>
      </c>
      <c r="F112">
        <v>1</v>
      </c>
      <c r="G112">
        <v>6</v>
      </c>
      <c r="H112">
        <f t="shared" si="9"/>
        <v>6</v>
      </c>
      <c r="I112" s="8">
        <v>22.8</v>
      </c>
      <c r="J112">
        <v>1</v>
      </c>
      <c r="K112">
        <f t="shared" si="10"/>
        <v>3.8000000000000003</v>
      </c>
      <c r="L112" s="2" t="s">
        <v>61</v>
      </c>
      <c r="M112" s="5">
        <v>0.05</v>
      </c>
      <c r="N112">
        <f t="shared" si="11"/>
        <v>3.99</v>
      </c>
      <c r="O112" s="3">
        <v>0.3</v>
      </c>
      <c r="P112">
        <f t="shared" si="12"/>
        <v>5.1870000000000003</v>
      </c>
      <c r="Q112" s="4">
        <f t="shared" si="13"/>
        <v>6</v>
      </c>
      <c r="R112">
        <v>0</v>
      </c>
      <c r="S112">
        <f t="shared" si="14"/>
        <v>2.1999999999999997</v>
      </c>
      <c r="T112">
        <f>IF(C112="","",InventoryTable[[#This Row],[Profit per Unit]]*InventoryTable[[#This Row],[Total Pieces]])</f>
        <v>13.2</v>
      </c>
      <c r="U112">
        <f t="shared" si="17"/>
        <v>0</v>
      </c>
      <c r="V112">
        <f>IF(C112="","",H112-InventoryTable[[#This Row],[Units Sold]])</f>
        <v>6</v>
      </c>
      <c r="W112">
        <f t="shared" si="15"/>
        <v>0</v>
      </c>
      <c r="X112">
        <f t="shared" si="16"/>
        <v>0</v>
      </c>
      <c r="Y112" t="str">
        <f>IF(C112="","",IF(InventoryTable[[#This Row],[Stock Balance]]&lt;=0,"Sold Out",IF((InventoryTable[[#This Row],[Stock Balance]]/InventoryTable[[#This Row],[Total Pieces]])&lt;=0.25,"Low on Stocks","Available")))</f>
        <v>Available</v>
      </c>
    </row>
    <row r="113" spans="1:25" x14ac:dyDescent="0.3">
      <c r="A113" t="str">
        <f>IF(C113="","",_xlfn.CONCAT(LEFT(InventoryTable[[#This Row],[Category]],1),InventoryTable[[#This Row],[Product Pricing Type]],ROW()))</f>
        <v>SFM113</v>
      </c>
      <c r="B113" s="7">
        <v>46269</v>
      </c>
      <c r="C113" t="s">
        <v>69</v>
      </c>
      <c r="D113" t="s">
        <v>70</v>
      </c>
      <c r="E113" t="s">
        <v>209</v>
      </c>
      <c r="F113">
        <v>1</v>
      </c>
      <c r="G113">
        <v>6</v>
      </c>
      <c r="H113">
        <f t="shared" si="9"/>
        <v>6</v>
      </c>
      <c r="I113">
        <v>27.3</v>
      </c>
      <c r="J113">
        <v>1</v>
      </c>
      <c r="K113">
        <f t="shared" si="10"/>
        <v>4.55</v>
      </c>
      <c r="L113" s="2" t="s">
        <v>61</v>
      </c>
      <c r="M113" s="5">
        <v>0.05</v>
      </c>
      <c r="N113">
        <f t="shared" si="11"/>
        <v>4.7774999999999999</v>
      </c>
      <c r="O113" s="3">
        <v>0.3</v>
      </c>
      <c r="P113">
        <f t="shared" si="12"/>
        <v>6.21075</v>
      </c>
      <c r="Q113" s="4">
        <f t="shared" si="13"/>
        <v>7</v>
      </c>
      <c r="R113">
        <v>0</v>
      </c>
      <c r="S113">
        <f t="shared" si="14"/>
        <v>2.4500000000000002</v>
      </c>
      <c r="T113">
        <f>IF(C113="","",InventoryTable[[#This Row],[Profit per Unit]]*InventoryTable[[#This Row],[Total Pieces]])</f>
        <v>14.700000000000001</v>
      </c>
      <c r="U113">
        <f t="shared" si="17"/>
        <v>0</v>
      </c>
      <c r="V113">
        <f>IF(C113="","",H113-InventoryTable[[#This Row],[Units Sold]])</f>
        <v>6</v>
      </c>
      <c r="W113">
        <f t="shared" si="15"/>
        <v>0</v>
      </c>
      <c r="X113">
        <f t="shared" si="16"/>
        <v>0</v>
      </c>
      <c r="Y113" t="str">
        <f>IF(C113="","",IF(InventoryTable[[#This Row],[Stock Balance]]&lt;=0,"Sold Out",IF((InventoryTable[[#This Row],[Stock Balance]]/InventoryTable[[#This Row],[Total Pieces]])&lt;=0.25,"Low on Stocks","Available")))</f>
        <v>Available</v>
      </c>
    </row>
    <row r="114" spans="1:25" x14ac:dyDescent="0.3">
      <c r="A114" t="str">
        <f>IF(C114="","",_xlfn.CONCAT(LEFT(InventoryTable[[#This Row],[Category]],1),InventoryTable[[#This Row],[Product Pricing Type]],ROW()))</f>
        <v>JFM114</v>
      </c>
      <c r="B114" s="7">
        <v>46269</v>
      </c>
      <c r="C114" t="s">
        <v>204</v>
      </c>
      <c r="D114" t="s">
        <v>205</v>
      </c>
      <c r="E114" t="s">
        <v>210</v>
      </c>
      <c r="F114">
        <v>1</v>
      </c>
      <c r="G114">
        <v>11</v>
      </c>
      <c r="H114">
        <f t="shared" si="9"/>
        <v>11</v>
      </c>
      <c r="I114">
        <v>204.6</v>
      </c>
      <c r="J114">
        <v>1</v>
      </c>
      <c r="K114">
        <f t="shared" si="10"/>
        <v>18.599999999999998</v>
      </c>
      <c r="L114" s="2" t="s">
        <v>61</v>
      </c>
      <c r="M114" s="5">
        <v>0.05</v>
      </c>
      <c r="N114">
        <f t="shared" si="11"/>
        <v>19.529999999999998</v>
      </c>
      <c r="O114" s="3">
        <v>0.05</v>
      </c>
      <c r="P114">
        <f t="shared" si="12"/>
        <v>20.506499999999999</v>
      </c>
      <c r="Q114" s="4">
        <f t="shared" si="13"/>
        <v>21</v>
      </c>
      <c r="R114">
        <v>0</v>
      </c>
      <c r="S114">
        <f t="shared" si="14"/>
        <v>2.4000000000000021</v>
      </c>
      <c r="T114">
        <f>IF(C114="","",InventoryTable[[#This Row],[Profit per Unit]]*InventoryTable[[#This Row],[Total Pieces]])</f>
        <v>26.400000000000023</v>
      </c>
      <c r="U114">
        <f t="shared" si="17"/>
        <v>0</v>
      </c>
      <c r="V114">
        <f>IF(C114="","",H114-InventoryTable[[#This Row],[Units Sold]])</f>
        <v>11</v>
      </c>
      <c r="W114">
        <f t="shared" si="15"/>
        <v>0</v>
      </c>
      <c r="X114">
        <f t="shared" si="16"/>
        <v>0</v>
      </c>
      <c r="Y114" t="str">
        <f>IF(C114="","",IF(InventoryTable[[#This Row],[Stock Balance]]&lt;=0,"Sold Out",IF((InventoryTable[[#This Row],[Stock Balance]]/InventoryTable[[#This Row],[Total Pieces]])&lt;=0.25,"Low on Stocks","Available")))</f>
        <v>Available</v>
      </c>
    </row>
    <row r="115" spans="1:25" x14ac:dyDescent="0.3">
      <c r="A115" t="str">
        <f>IF(C115="","",_xlfn.CONCAT(LEFT(InventoryTable[[#This Row],[Category]],1),InventoryTable[[#This Row],[Product Pricing Type]],ROW()))</f>
        <v>JFM115</v>
      </c>
      <c r="B115" s="7">
        <v>46269</v>
      </c>
      <c r="C115" t="s">
        <v>204</v>
      </c>
      <c r="D115" t="s">
        <v>205</v>
      </c>
      <c r="E115" t="s">
        <v>211</v>
      </c>
      <c r="F115">
        <v>1</v>
      </c>
      <c r="G115">
        <v>12</v>
      </c>
      <c r="H115">
        <f t="shared" si="9"/>
        <v>12</v>
      </c>
      <c r="I115">
        <v>223.2</v>
      </c>
      <c r="J115">
        <v>1</v>
      </c>
      <c r="K115">
        <f t="shared" si="10"/>
        <v>18.599999999999998</v>
      </c>
      <c r="L115" s="2" t="s">
        <v>61</v>
      </c>
      <c r="M115" s="5">
        <v>0.05</v>
      </c>
      <c r="N115">
        <f t="shared" si="11"/>
        <v>19.529999999999998</v>
      </c>
      <c r="O115" s="3">
        <v>0.05</v>
      </c>
      <c r="P115">
        <f t="shared" si="12"/>
        <v>20.506499999999999</v>
      </c>
      <c r="Q115" s="4">
        <f t="shared" si="13"/>
        <v>21</v>
      </c>
      <c r="R115">
        <v>0</v>
      </c>
      <c r="S115">
        <f t="shared" si="14"/>
        <v>2.4000000000000021</v>
      </c>
      <c r="T115">
        <f>IF(C115="","",InventoryTable[[#This Row],[Profit per Unit]]*InventoryTable[[#This Row],[Total Pieces]])</f>
        <v>28.800000000000026</v>
      </c>
      <c r="U115">
        <f t="shared" si="17"/>
        <v>0</v>
      </c>
      <c r="V115">
        <f>IF(C115="","",H115-InventoryTable[[#This Row],[Units Sold]])</f>
        <v>12</v>
      </c>
      <c r="W115">
        <f t="shared" si="15"/>
        <v>0</v>
      </c>
      <c r="X115">
        <f t="shared" si="16"/>
        <v>0</v>
      </c>
      <c r="Y115" t="str">
        <f>IF(C115="","",IF(InventoryTable[[#This Row],[Stock Balance]]&lt;=0,"Sold Out",IF((InventoryTable[[#This Row],[Stock Balance]]/InventoryTable[[#This Row],[Total Pieces]])&lt;=0.25,"Low on Stocks","Available")))</f>
        <v>Available</v>
      </c>
    </row>
    <row r="116" spans="1:25" x14ac:dyDescent="0.3">
      <c r="A116" t="str">
        <f>IF(C116="","",_xlfn.CONCAT(LEFT(InventoryTable[[#This Row],[Category]],1),InventoryTable[[#This Row],[Product Pricing Type]],ROW()))</f>
        <v>BFM116</v>
      </c>
      <c r="B116" s="7">
        <v>46269</v>
      </c>
      <c r="C116" t="s">
        <v>212</v>
      </c>
      <c r="D116" t="s">
        <v>219</v>
      </c>
      <c r="E116" t="s">
        <v>213</v>
      </c>
      <c r="F116">
        <v>1</v>
      </c>
      <c r="G116">
        <v>5</v>
      </c>
      <c r="H116">
        <f t="shared" si="9"/>
        <v>5</v>
      </c>
      <c r="I116">
        <v>63</v>
      </c>
      <c r="J116">
        <v>1</v>
      </c>
      <c r="K116">
        <f t="shared" si="10"/>
        <v>12.6</v>
      </c>
      <c r="L116" s="2" t="s">
        <v>61</v>
      </c>
      <c r="M116" s="5">
        <v>0.05</v>
      </c>
      <c r="N116">
        <f t="shared" si="11"/>
        <v>13.23</v>
      </c>
      <c r="O116" s="3">
        <v>0.1</v>
      </c>
      <c r="P116">
        <f t="shared" si="12"/>
        <v>14.553000000000001</v>
      </c>
      <c r="Q116" s="4">
        <f t="shared" si="13"/>
        <v>15</v>
      </c>
      <c r="R116">
        <v>0</v>
      </c>
      <c r="S116">
        <f t="shared" si="14"/>
        <v>2.4000000000000004</v>
      </c>
      <c r="T116">
        <f>IF(C116="","",InventoryTable[[#This Row],[Profit per Unit]]*InventoryTable[[#This Row],[Total Pieces]])</f>
        <v>12.000000000000002</v>
      </c>
      <c r="U116">
        <f t="shared" si="17"/>
        <v>0</v>
      </c>
      <c r="V116">
        <f>IF(C116="","",H116-InventoryTable[[#This Row],[Units Sold]])</f>
        <v>5</v>
      </c>
      <c r="W116">
        <f t="shared" si="15"/>
        <v>0</v>
      </c>
      <c r="X116">
        <f t="shared" si="16"/>
        <v>0</v>
      </c>
      <c r="Y116" t="str">
        <f>IF(C116="","",IF(InventoryTable[[#This Row],[Stock Balance]]&lt;=0,"Sold Out",IF((InventoryTable[[#This Row],[Stock Balance]]/InventoryTable[[#This Row],[Total Pieces]])&lt;=0.25,"Low on Stocks","Available")))</f>
        <v>Available</v>
      </c>
    </row>
    <row r="117" spans="1:25" x14ac:dyDescent="0.3">
      <c r="A117" t="str">
        <f>IF(C117="","",_xlfn.CONCAT(LEFT(InventoryTable[[#This Row],[Category]],1),InventoryTable[[#This Row],[Product Pricing Type]],ROW()))</f>
        <v>DFM117</v>
      </c>
      <c r="B117" s="7">
        <v>46269</v>
      </c>
      <c r="C117" t="s">
        <v>214</v>
      </c>
      <c r="D117" t="s">
        <v>79</v>
      </c>
      <c r="E117" t="s">
        <v>215</v>
      </c>
      <c r="F117">
        <v>1</v>
      </c>
      <c r="G117">
        <v>3</v>
      </c>
      <c r="H117">
        <f t="shared" si="9"/>
        <v>3</v>
      </c>
      <c r="I117">
        <v>49.8</v>
      </c>
      <c r="J117">
        <v>1</v>
      </c>
      <c r="K117">
        <f t="shared" si="10"/>
        <v>16.599999999999998</v>
      </c>
      <c r="L117" s="2" t="s">
        <v>61</v>
      </c>
      <c r="M117" s="5">
        <v>0.05</v>
      </c>
      <c r="N117">
        <f t="shared" si="11"/>
        <v>17.429999999999996</v>
      </c>
      <c r="O117" s="3">
        <v>0.05</v>
      </c>
      <c r="P117">
        <f t="shared" si="12"/>
        <v>18.301499999999997</v>
      </c>
      <c r="Q117" s="4">
        <f t="shared" si="13"/>
        <v>19</v>
      </c>
      <c r="R117">
        <v>0</v>
      </c>
      <c r="S117">
        <f t="shared" si="14"/>
        <v>2.4000000000000021</v>
      </c>
      <c r="T117">
        <f>IF(C117="","",InventoryTable[[#This Row],[Profit per Unit]]*InventoryTable[[#This Row],[Total Pieces]])</f>
        <v>7.2000000000000064</v>
      </c>
      <c r="U117">
        <f t="shared" si="17"/>
        <v>0</v>
      </c>
      <c r="V117">
        <f>IF(C117="","",H117-InventoryTable[[#This Row],[Units Sold]])</f>
        <v>3</v>
      </c>
      <c r="W117">
        <f t="shared" si="15"/>
        <v>0</v>
      </c>
      <c r="X117">
        <f t="shared" si="16"/>
        <v>0</v>
      </c>
      <c r="Y117" t="str">
        <f>IF(C117="","",IF(InventoryTable[[#This Row],[Stock Balance]]&lt;=0,"Sold Out",IF((InventoryTable[[#This Row],[Stock Balance]]/InventoryTable[[#This Row],[Total Pieces]])&lt;=0.25,"Low on Stocks","Available")))</f>
        <v>Available</v>
      </c>
    </row>
    <row r="118" spans="1:25" x14ac:dyDescent="0.3">
      <c r="A118" t="str">
        <f>IF(C118="","",_xlfn.CONCAT(LEFT(InventoryTable[[#This Row],[Category]],1),InventoryTable[[#This Row],[Product Pricing Type]],ROW()))</f>
        <v>OFM118</v>
      </c>
      <c r="B118" s="7">
        <v>46269</v>
      </c>
      <c r="C118" t="s">
        <v>216</v>
      </c>
      <c r="D118" t="s">
        <v>217</v>
      </c>
      <c r="E118" t="s">
        <v>218</v>
      </c>
      <c r="F118">
        <v>1</v>
      </c>
      <c r="G118">
        <v>6</v>
      </c>
      <c r="H118">
        <f t="shared" si="9"/>
        <v>6</v>
      </c>
      <c r="I118">
        <v>26.4</v>
      </c>
      <c r="J118">
        <v>1</v>
      </c>
      <c r="K118">
        <f t="shared" si="10"/>
        <v>4.3999999999999995</v>
      </c>
      <c r="L118" s="2" t="s">
        <v>61</v>
      </c>
      <c r="M118" s="5">
        <v>0.05</v>
      </c>
      <c r="N118">
        <f t="shared" si="11"/>
        <v>4.6199999999999992</v>
      </c>
      <c r="O118" s="3">
        <v>0.3</v>
      </c>
      <c r="P118">
        <f t="shared" si="12"/>
        <v>6.0059999999999985</v>
      </c>
      <c r="Q118" s="4">
        <f t="shared" si="13"/>
        <v>7</v>
      </c>
      <c r="R118">
        <v>0</v>
      </c>
      <c r="S118">
        <f t="shared" si="14"/>
        <v>2.6000000000000005</v>
      </c>
      <c r="T118">
        <f>IF(C118="","",InventoryTable[[#This Row],[Profit per Unit]]*InventoryTable[[#This Row],[Total Pieces]])</f>
        <v>15.600000000000003</v>
      </c>
      <c r="U118">
        <f t="shared" si="17"/>
        <v>0</v>
      </c>
      <c r="V118">
        <f>IF(C118="","",H118-InventoryTable[[#This Row],[Units Sold]])</f>
        <v>6</v>
      </c>
      <c r="W118">
        <f t="shared" si="15"/>
        <v>0</v>
      </c>
      <c r="X118">
        <f t="shared" si="16"/>
        <v>0</v>
      </c>
      <c r="Y118" t="str">
        <f>IF(C118="","",IF(InventoryTable[[#This Row],[Stock Balance]]&lt;=0,"Sold Out",IF((InventoryTable[[#This Row],[Stock Balance]]/InventoryTable[[#This Row],[Total Pieces]])&lt;=0.25,"Low on Stocks","Available")))</f>
        <v>Available</v>
      </c>
    </row>
    <row r="119" spans="1:25" x14ac:dyDescent="0.3">
      <c r="A119" t="str">
        <f>IF(C119="","",_xlfn.CONCAT(LEFT(InventoryTable[[#This Row],[Category]],1),InventoryTable[[#This Row],[Product Pricing Type]],ROW()))</f>
        <v>MFM119</v>
      </c>
      <c r="B119" s="7">
        <v>46269</v>
      </c>
      <c r="C119" t="s">
        <v>112</v>
      </c>
      <c r="D119" t="s">
        <v>219</v>
      </c>
      <c r="E119" t="s">
        <v>220</v>
      </c>
      <c r="F119">
        <v>1</v>
      </c>
      <c r="G119">
        <f>6*3</f>
        <v>18</v>
      </c>
      <c r="H119">
        <f t="shared" si="9"/>
        <v>18</v>
      </c>
      <c r="I119">
        <v>62.5</v>
      </c>
      <c r="J119">
        <v>1</v>
      </c>
      <c r="K119">
        <f t="shared" si="10"/>
        <v>3.4722222222222223</v>
      </c>
      <c r="L119" s="2" t="s">
        <v>61</v>
      </c>
      <c r="M119" s="5">
        <v>0.05</v>
      </c>
      <c r="N119">
        <f t="shared" si="11"/>
        <v>3.6458333333333335</v>
      </c>
      <c r="O119" s="3">
        <v>0.2</v>
      </c>
      <c r="P119">
        <f t="shared" si="12"/>
        <v>4.375</v>
      </c>
      <c r="Q119" s="4">
        <f t="shared" si="13"/>
        <v>5</v>
      </c>
      <c r="R119">
        <v>0</v>
      </c>
      <c r="S119">
        <f t="shared" si="14"/>
        <v>1.5277777777777777</v>
      </c>
      <c r="T119">
        <f>IF(C119="","",InventoryTable[[#This Row],[Profit per Unit]]*InventoryTable[[#This Row],[Total Pieces]])</f>
        <v>27.5</v>
      </c>
      <c r="U119">
        <f t="shared" si="17"/>
        <v>0</v>
      </c>
      <c r="V119">
        <f>IF(C119="","",H119-InventoryTable[[#This Row],[Units Sold]])</f>
        <v>18</v>
      </c>
      <c r="W119">
        <f t="shared" si="15"/>
        <v>0</v>
      </c>
      <c r="X119">
        <f t="shared" si="16"/>
        <v>0</v>
      </c>
      <c r="Y119" t="str">
        <f>IF(C119="","",IF(InventoryTable[[#This Row],[Stock Balance]]&lt;=0,"Sold Out",IF((InventoryTable[[#This Row],[Stock Balance]]/InventoryTable[[#This Row],[Total Pieces]])&lt;=0.25,"Low on Stocks","Available")))</f>
        <v>Available</v>
      </c>
    </row>
    <row r="120" spans="1:25" x14ac:dyDescent="0.3">
      <c r="A120" t="str">
        <f>IF(C120="","",_xlfn.CONCAT(LEFT(InventoryTable[[#This Row],[Category]],1),InventoryTable[[#This Row],[Product Pricing Type]],ROW()))</f>
        <v>CFM120</v>
      </c>
      <c r="B120" s="7">
        <v>46269</v>
      </c>
      <c r="C120" t="s">
        <v>222</v>
      </c>
      <c r="D120" t="s">
        <v>223</v>
      </c>
      <c r="E120" t="s">
        <v>224</v>
      </c>
      <c r="F120">
        <v>1</v>
      </c>
      <c r="G120">
        <v>24</v>
      </c>
      <c r="H120">
        <f t="shared" si="9"/>
        <v>24</v>
      </c>
      <c r="I120">
        <v>48</v>
      </c>
      <c r="J120">
        <v>1</v>
      </c>
      <c r="K120">
        <f t="shared" si="10"/>
        <v>2</v>
      </c>
      <c r="L120" s="2" t="s">
        <v>61</v>
      </c>
      <c r="M120" s="5">
        <v>0.05</v>
      </c>
      <c r="N120">
        <f t="shared" si="11"/>
        <v>2.1</v>
      </c>
      <c r="O120" s="3">
        <v>0.5</v>
      </c>
      <c r="P120">
        <f t="shared" si="12"/>
        <v>3.1500000000000004</v>
      </c>
      <c r="Q120" s="4">
        <f t="shared" si="13"/>
        <v>4</v>
      </c>
      <c r="R120">
        <v>0</v>
      </c>
      <c r="S120">
        <f t="shared" si="14"/>
        <v>2</v>
      </c>
      <c r="T120">
        <f>IF(C120="","",InventoryTable[[#This Row],[Profit per Unit]]*InventoryTable[[#This Row],[Total Pieces]])</f>
        <v>48</v>
      </c>
      <c r="U120">
        <f t="shared" si="17"/>
        <v>0</v>
      </c>
      <c r="V120">
        <f>IF(C120="","",H120-InventoryTable[[#This Row],[Units Sold]])</f>
        <v>24</v>
      </c>
      <c r="W120">
        <f t="shared" si="15"/>
        <v>0</v>
      </c>
      <c r="X120">
        <f t="shared" si="16"/>
        <v>0</v>
      </c>
      <c r="Y120" t="str">
        <f>IF(C120="","",IF(InventoryTable[[#This Row],[Stock Balance]]&lt;=0,"Sold Out",IF((InventoryTable[[#This Row],[Stock Balance]]/InventoryTable[[#This Row],[Total Pieces]])&lt;=0.25,"Low on Stocks","Available")))</f>
        <v>Available</v>
      </c>
    </row>
    <row r="121" spans="1:25" x14ac:dyDescent="0.3">
      <c r="A121" t="str">
        <f>IF(C121="","",_xlfn.CONCAT(LEFT(InventoryTable[[#This Row],[Category]],1),InventoryTable[[#This Row],[Product Pricing Type]],ROW()))</f>
        <v>TFM121</v>
      </c>
      <c r="B121" s="7">
        <v>46269</v>
      </c>
      <c r="C121" t="s">
        <v>225</v>
      </c>
      <c r="D121" t="s">
        <v>226</v>
      </c>
      <c r="E121" t="s">
        <v>227</v>
      </c>
      <c r="F121">
        <v>1</v>
      </c>
      <c r="G121">
        <v>3</v>
      </c>
      <c r="H121">
        <f t="shared" si="9"/>
        <v>3</v>
      </c>
      <c r="I121">
        <v>89.55</v>
      </c>
      <c r="J121">
        <v>1</v>
      </c>
      <c r="K121">
        <f t="shared" si="10"/>
        <v>29.849999999999998</v>
      </c>
      <c r="L121" s="2" t="s">
        <v>61</v>
      </c>
      <c r="M121" s="5">
        <v>0.05</v>
      </c>
      <c r="N121">
        <f t="shared" si="11"/>
        <v>31.342499999999998</v>
      </c>
      <c r="O121" s="3">
        <v>0</v>
      </c>
      <c r="P121">
        <f t="shared" si="12"/>
        <v>31.342499999999998</v>
      </c>
      <c r="Q121" s="4">
        <f t="shared" si="13"/>
        <v>32</v>
      </c>
      <c r="R121">
        <v>0</v>
      </c>
      <c r="S121">
        <f t="shared" si="14"/>
        <v>2.1500000000000021</v>
      </c>
      <c r="T121">
        <f>IF(C121="","",InventoryTable[[#This Row],[Profit per Unit]]*InventoryTable[[#This Row],[Total Pieces]])</f>
        <v>6.4500000000000064</v>
      </c>
      <c r="U121">
        <f t="shared" si="17"/>
        <v>0</v>
      </c>
      <c r="V121">
        <f>IF(C121="","",H121-InventoryTable[[#This Row],[Units Sold]])</f>
        <v>3</v>
      </c>
      <c r="W121">
        <f t="shared" si="15"/>
        <v>0</v>
      </c>
      <c r="X121">
        <f t="shared" si="16"/>
        <v>0</v>
      </c>
      <c r="Y121" t="str">
        <f>IF(C121="","",IF(InventoryTable[[#This Row],[Stock Balance]]&lt;=0,"Sold Out",IF((InventoryTable[[#This Row],[Stock Balance]]/InventoryTable[[#This Row],[Total Pieces]])&lt;=0.25,"Low on Stocks","Available")))</f>
        <v>Available</v>
      </c>
    </row>
    <row r="122" spans="1:25" x14ac:dyDescent="0.3">
      <c r="A122" t="str">
        <f>IF(C122="","",_xlfn.CONCAT(LEFT(InventoryTable[[#This Row],[Category]],1),InventoryTable[[#This Row],[Product Pricing Type]],ROW()))</f>
        <v>TFM122</v>
      </c>
      <c r="B122" s="7">
        <v>46269</v>
      </c>
      <c r="C122" t="s">
        <v>225</v>
      </c>
      <c r="D122" t="s">
        <v>226</v>
      </c>
      <c r="E122" t="s">
        <v>228</v>
      </c>
      <c r="F122">
        <v>1</v>
      </c>
      <c r="G122">
        <v>3</v>
      </c>
      <c r="H122">
        <f t="shared" si="9"/>
        <v>3</v>
      </c>
      <c r="I122">
        <v>89.55</v>
      </c>
      <c r="J122">
        <v>1</v>
      </c>
      <c r="K122">
        <f t="shared" si="10"/>
        <v>29.849999999999998</v>
      </c>
      <c r="L122" s="2" t="s">
        <v>61</v>
      </c>
      <c r="M122" s="5">
        <v>0.05</v>
      </c>
      <c r="N122">
        <f t="shared" si="11"/>
        <v>31.342499999999998</v>
      </c>
      <c r="O122" s="3">
        <v>0</v>
      </c>
      <c r="P122">
        <f t="shared" si="12"/>
        <v>31.342499999999998</v>
      </c>
      <c r="Q122" s="4">
        <f t="shared" si="13"/>
        <v>32</v>
      </c>
      <c r="R122">
        <v>0</v>
      </c>
      <c r="S122">
        <f t="shared" si="14"/>
        <v>2.1500000000000021</v>
      </c>
      <c r="T122">
        <f>IF(C122="","",InventoryTable[[#This Row],[Profit per Unit]]*InventoryTable[[#This Row],[Total Pieces]])</f>
        <v>6.4500000000000064</v>
      </c>
      <c r="U122">
        <f t="shared" si="17"/>
        <v>0</v>
      </c>
      <c r="V122">
        <f>IF(C122="","",H122-InventoryTable[[#This Row],[Units Sold]])</f>
        <v>3</v>
      </c>
      <c r="W122">
        <f t="shared" si="15"/>
        <v>0</v>
      </c>
      <c r="X122">
        <f t="shared" si="16"/>
        <v>0</v>
      </c>
      <c r="Y122" t="str">
        <f>IF(C122="","",IF(InventoryTable[[#This Row],[Stock Balance]]&lt;=0,"Sold Out",IF((InventoryTable[[#This Row],[Stock Balance]]/InventoryTable[[#This Row],[Total Pieces]])&lt;=0.25,"Low on Stocks","Available")))</f>
        <v>Available</v>
      </c>
    </row>
    <row r="123" spans="1:25" x14ac:dyDescent="0.3">
      <c r="A123" t="str">
        <f>IF(C123="","",_xlfn.CONCAT(LEFT(InventoryTable[[#This Row],[Category]],1),InventoryTable[[#This Row],[Product Pricing Type]],ROW()))</f>
        <v>TFM123</v>
      </c>
      <c r="B123" s="7">
        <v>46269</v>
      </c>
      <c r="C123" t="s">
        <v>225</v>
      </c>
      <c r="D123" t="s">
        <v>229</v>
      </c>
      <c r="E123" t="s">
        <v>230</v>
      </c>
      <c r="F123">
        <v>1</v>
      </c>
      <c r="G123">
        <v>3</v>
      </c>
      <c r="H123">
        <f t="shared" si="9"/>
        <v>3</v>
      </c>
      <c r="I123">
        <v>110.85</v>
      </c>
      <c r="J123">
        <v>1</v>
      </c>
      <c r="K123">
        <f t="shared" si="10"/>
        <v>36.949999999999996</v>
      </c>
      <c r="L123" s="2" t="s">
        <v>61</v>
      </c>
      <c r="M123" s="5">
        <v>0.05</v>
      </c>
      <c r="N123">
        <f t="shared" si="11"/>
        <v>38.797499999999992</v>
      </c>
      <c r="O123" s="3">
        <v>0</v>
      </c>
      <c r="P123">
        <f t="shared" si="12"/>
        <v>38.797499999999992</v>
      </c>
      <c r="Q123" s="4">
        <f t="shared" si="13"/>
        <v>39</v>
      </c>
      <c r="R123">
        <v>0</v>
      </c>
      <c r="S123">
        <f t="shared" si="14"/>
        <v>2.0500000000000043</v>
      </c>
      <c r="T123">
        <f>IF(C123="","",InventoryTable[[#This Row],[Profit per Unit]]*InventoryTable[[#This Row],[Total Pieces]])</f>
        <v>6.1500000000000128</v>
      </c>
      <c r="U123">
        <f t="shared" si="17"/>
        <v>0</v>
      </c>
      <c r="V123">
        <f>IF(C123="","",H123-InventoryTable[[#This Row],[Units Sold]])</f>
        <v>3</v>
      </c>
      <c r="W123">
        <f t="shared" si="15"/>
        <v>0</v>
      </c>
      <c r="X123">
        <f t="shared" si="16"/>
        <v>0</v>
      </c>
      <c r="Y123" t="str">
        <f>IF(C123="","",IF(InventoryTable[[#This Row],[Stock Balance]]&lt;=0,"Sold Out",IF((InventoryTable[[#This Row],[Stock Balance]]/InventoryTable[[#This Row],[Total Pieces]])&lt;=0.25,"Low on Stocks","Available")))</f>
        <v>Available</v>
      </c>
    </row>
    <row r="124" spans="1:25" x14ac:dyDescent="0.3">
      <c r="A124" t="str">
        <f>IF(C124="","",_xlfn.CONCAT(LEFT(InventoryTable[[#This Row],[Category]],1),InventoryTable[[#This Row],[Product Pricing Type]],ROW()))</f>
        <v>JFM124</v>
      </c>
      <c r="B124" s="7">
        <v>46269</v>
      </c>
      <c r="C124" t="s">
        <v>204</v>
      </c>
      <c r="D124" t="s">
        <v>231</v>
      </c>
      <c r="E124" t="s">
        <v>206</v>
      </c>
      <c r="F124">
        <v>1</v>
      </c>
      <c r="G124">
        <v>18</v>
      </c>
      <c r="H124">
        <f t="shared" si="9"/>
        <v>18</v>
      </c>
      <c r="I124">
        <v>349.2</v>
      </c>
      <c r="J124">
        <v>1</v>
      </c>
      <c r="K124">
        <f t="shared" si="10"/>
        <v>19.399999999999999</v>
      </c>
      <c r="L124" s="2" t="s">
        <v>61</v>
      </c>
      <c r="M124" s="5">
        <v>0.05</v>
      </c>
      <c r="N124">
        <f t="shared" si="11"/>
        <v>20.369999999999997</v>
      </c>
      <c r="O124" s="3">
        <v>0</v>
      </c>
      <c r="P124">
        <f t="shared" si="12"/>
        <v>20.369999999999997</v>
      </c>
      <c r="Q124" s="4">
        <f t="shared" si="13"/>
        <v>21</v>
      </c>
      <c r="R124">
        <v>0</v>
      </c>
      <c r="S124">
        <f t="shared" si="14"/>
        <v>1.6000000000000014</v>
      </c>
      <c r="T124">
        <f>IF(C124="","",InventoryTable[[#This Row],[Profit per Unit]]*InventoryTable[[#This Row],[Total Pieces]])</f>
        <v>28.800000000000026</v>
      </c>
      <c r="U124">
        <v>1</v>
      </c>
      <c r="V124">
        <f>IF(C124="","",H124-InventoryTable[[#This Row],[Units Sold]])</f>
        <v>17</v>
      </c>
      <c r="W124">
        <f t="shared" si="15"/>
        <v>21</v>
      </c>
      <c r="X124">
        <f t="shared" si="16"/>
        <v>1.6000000000000014</v>
      </c>
      <c r="Y124" t="str">
        <f>IF(C124="","",IF(InventoryTable[[#This Row],[Stock Balance]]&lt;=0,"Sold Out",IF((InventoryTable[[#This Row],[Stock Balance]]/InventoryTable[[#This Row],[Total Pieces]])&lt;=0.25,"Low on Stocks","Available")))</f>
        <v>Available</v>
      </c>
    </row>
    <row r="125" spans="1:25" x14ac:dyDescent="0.3">
      <c r="A125" t="str">
        <f>IF(C125="","",_xlfn.CONCAT(LEFT(InventoryTable[[#This Row],[Category]],1),InventoryTable[[#This Row],[Product Pricing Type]],ROW()))</f>
        <v>JFM125</v>
      </c>
      <c r="B125" s="7">
        <v>46269</v>
      </c>
      <c r="C125" t="s">
        <v>204</v>
      </c>
      <c r="D125" t="s">
        <v>231</v>
      </c>
      <c r="E125" t="s">
        <v>232</v>
      </c>
      <c r="F125">
        <v>1</v>
      </c>
      <c r="G125">
        <v>7</v>
      </c>
      <c r="H125">
        <f t="shared" si="9"/>
        <v>7</v>
      </c>
      <c r="I125">
        <v>135.80000000000001</v>
      </c>
      <c r="J125">
        <v>1</v>
      </c>
      <c r="K125">
        <f t="shared" si="10"/>
        <v>19.400000000000002</v>
      </c>
      <c r="L125" s="2" t="s">
        <v>61</v>
      </c>
      <c r="M125" s="5">
        <v>0.05</v>
      </c>
      <c r="N125">
        <f t="shared" si="11"/>
        <v>20.37</v>
      </c>
      <c r="O125" s="3">
        <v>0</v>
      </c>
      <c r="P125">
        <f t="shared" si="12"/>
        <v>20.37</v>
      </c>
      <c r="Q125" s="4">
        <f t="shared" si="13"/>
        <v>21</v>
      </c>
      <c r="R125">
        <v>0</v>
      </c>
      <c r="S125">
        <f t="shared" si="14"/>
        <v>1.5999999999999979</v>
      </c>
      <c r="T125">
        <f>IF(C125="","",InventoryTable[[#This Row],[Profit per Unit]]*InventoryTable[[#This Row],[Total Pieces]])</f>
        <v>11.199999999999985</v>
      </c>
      <c r="U125">
        <v>1</v>
      </c>
      <c r="V125">
        <f>IF(C125="","",H125-InventoryTable[[#This Row],[Units Sold]])</f>
        <v>6</v>
      </c>
      <c r="W125">
        <f t="shared" si="15"/>
        <v>21</v>
      </c>
      <c r="X125">
        <f t="shared" si="16"/>
        <v>1.5999999999999979</v>
      </c>
      <c r="Y125" t="str">
        <f>IF(C125="","",IF(InventoryTable[[#This Row],[Stock Balance]]&lt;=0,"Sold Out",IF((InventoryTable[[#This Row],[Stock Balance]]/InventoryTable[[#This Row],[Total Pieces]])&lt;=0.25,"Low on Stocks","Available")))</f>
        <v>Available</v>
      </c>
    </row>
    <row r="126" spans="1:25" x14ac:dyDescent="0.3">
      <c r="A126" t="str">
        <f>IF(C126="","",_xlfn.CONCAT(LEFT(InventoryTable[[#This Row],[Category]],1),InventoryTable[[#This Row],[Product Pricing Type]],ROW()))</f>
        <v>MFM126</v>
      </c>
      <c r="B126" s="7">
        <v>46269</v>
      </c>
      <c r="C126" t="s">
        <v>157</v>
      </c>
      <c r="D126" t="s">
        <v>233</v>
      </c>
      <c r="E126" t="s">
        <v>234</v>
      </c>
      <c r="F126">
        <v>2</v>
      </c>
      <c r="G126">
        <v>6</v>
      </c>
      <c r="H126">
        <f t="shared" si="9"/>
        <v>12</v>
      </c>
      <c r="I126">
        <v>69</v>
      </c>
      <c r="J126">
        <v>1</v>
      </c>
      <c r="K126">
        <f t="shared" si="10"/>
        <v>5.75</v>
      </c>
      <c r="L126" s="2" t="s">
        <v>61</v>
      </c>
      <c r="M126" s="5">
        <v>0.05</v>
      </c>
      <c r="N126">
        <f t="shared" si="11"/>
        <v>6.0374999999999996</v>
      </c>
      <c r="O126" s="3">
        <v>0</v>
      </c>
      <c r="P126">
        <f t="shared" si="12"/>
        <v>6.0374999999999996</v>
      </c>
      <c r="Q126" s="4">
        <f t="shared" si="13"/>
        <v>7</v>
      </c>
      <c r="R126">
        <v>0</v>
      </c>
      <c r="S126">
        <f t="shared" si="14"/>
        <v>1.25</v>
      </c>
      <c r="T126">
        <f>IF(C126="","",InventoryTable[[#This Row],[Profit per Unit]]*InventoryTable[[#This Row],[Total Pieces]])</f>
        <v>15</v>
      </c>
      <c r="U126">
        <f t="shared" si="17"/>
        <v>0</v>
      </c>
      <c r="V126">
        <f>IF(C126="","",H126-InventoryTable[[#This Row],[Units Sold]])</f>
        <v>12</v>
      </c>
      <c r="W126">
        <f t="shared" si="15"/>
        <v>0</v>
      </c>
      <c r="X126">
        <f t="shared" si="16"/>
        <v>0</v>
      </c>
      <c r="Y126" t="str">
        <f>IF(C126="","",IF(InventoryTable[[#This Row],[Stock Balance]]&lt;=0,"Sold Out",IF((InventoryTable[[#This Row],[Stock Balance]]/InventoryTable[[#This Row],[Total Pieces]])&lt;=0.25,"Low on Stocks","Available")))</f>
        <v>Available</v>
      </c>
    </row>
    <row r="127" spans="1:25" x14ac:dyDescent="0.3">
      <c r="A127" t="str">
        <f>IF(C127="","",_xlfn.CONCAT(LEFT(InventoryTable[[#This Row],[Category]],1),InventoryTable[[#This Row],[Product Pricing Type]],ROW()))</f>
        <v>PFM127</v>
      </c>
      <c r="B127" s="7">
        <v>46269</v>
      </c>
      <c r="C127" t="s">
        <v>235</v>
      </c>
      <c r="D127" t="s">
        <v>76</v>
      </c>
      <c r="E127" t="s">
        <v>236</v>
      </c>
      <c r="F127">
        <v>1</v>
      </c>
      <c r="G127">
        <v>3</v>
      </c>
      <c r="H127">
        <f t="shared" si="9"/>
        <v>3</v>
      </c>
      <c r="I127">
        <v>48.75</v>
      </c>
      <c r="J127">
        <v>1</v>
      </c>
      <c r="K127">
        <f t="shared" si="10"/>
        <v>16.25</v>
      </c>
      <c r="L127" s="2" t="s">
        <v>61</v>
      </c>
      <c r="M127" s="5">
        <v>0.05</v>
      </c>
      <c r="N127">
        <f t="shared" si="11"/>
        <v>17.0625</v>
      </c>
      <c r="O127" s="3">
        <v>0.1</v>
      </c>
      <c r="P127">
        <f t="shared" si="12"/>
        <v>18.768750000000001</v>
      </c>
      <c r="Q127" s="4">
        <f t="shared" si="13"/>
        <v>19</v>
      </c>
      <c r="R127">
        <v>0</v>
      </c>
      <c r="S127">
        <f t="shared" si="14"/>
        <v>2.75</v>
      </c>
      <c r="T127">
        <f>IF(C127="","",InventoryTable[[#This Row],[Profit per Unit]]*InventoryTable[[#This Row],[Total Pieces]])</f>
        <v>8.25</v>
      </c>
      <c r="U127">
        <f t="shared" si="17"/>
        <v>0</v>
      </c>
      <c r="V127">
        <f>IF(C127="","",H127-InventoryTable[[#This Row],[Units Sold]])</f>
        <v>3</v>
      </c>
      <c r="W127">
        <f t="shared" si="15"/>
        <v>0</v>
      </c>
      <c r="X127">
        <f t="shared" si="16"/>
        <v>0</v>
      </c>
      <c r="Y127" t="str">
        <f>IF(C127="","",IF(InventoryTable[[#This Row],[Stock Balance]]&lt;=0,"Sold Out",IF((InventoryTable[[#This Row],[Stock Balance]]/InventoryTable[[#This Row],[Total Pieces]])&lt;=0.25,"Low on Stocks","Available")))</f>
        <v>Available</v>
      </c>
    </row>
    <row r="128" spans="1:25" x14ac:dyDescent="0.3">
      <c r="A128" t="str">
        <f>IF(C128="","",_xlfn.CONCAT(LEFT(InventoryTable[[#This Row],[Category]],1),InventoryTable[[#This Row],[Product Pricing Type]],ROW()))</f>
        <v>SFM128</v>
      </c>
      <c r="B128" s="7">
        <v>46269</v>
      </c>
      <c r="C128" t="s">
        <v>237</v>
      </c>
      <c r="D128" t="s">
        <v>238</v>
      </c>
      <c r="E128" t="s">
        <v>239</v>
      </c>
      <c r="F128">
        <v>1</v>
      </c>
      <c r="G128">
        <v>3</v>
      </c>
      <c r="H128">
        <f t="shared" si="9"/>
        <v>3</v>
      </c>
      <c r="I128">
        <v>75.900000000000006</v>
      </c>
      <c r="J128">
        <v>1</v>
      </c>
      <c r="K128">
        <f t="shared" si="10"/>
        <v>25.3</v>
      </c>
      <c r="L128" s="2" t="s">
        <v>61</v>
      </c>
      <c r="M128" s="5">
        <v>0.05</v>
      </c>
      <c r="N128">
        <f t="shared" si="11"/>
        <v>26.565000000000001</v>
      </c>
      <c r="O128" s="3">
        <v>0.05</v>
      </c>
      <c r="P128">
        <f t="shared" si="12"/>
        <v>27.893250000000002</v>
      </c>
      <c r="Q128" s="4">
        <f t="shared" si="13"/>
        <v>28</v>
      </c>
      <c r="R128">
        <v>0</v>
      </c>
      <c r="S128">
        <f t="shared" si="14"/>
        <v>2.6999999999999993</v>
      </c>
      <c r="T128">
        <f>IF(C128="","",InventoryTable[[#This Row],[Profit per Unit]]*InventoryTable[[#This Row],[Total Pieces]])</f>
        <v>8.0999999999999979</v>
      </c>
      <c r="U128">
        <f t="shared" si="17"/>
        <v>0</v>
      </c>
      <c r="V128">
        <f>IF(C128="","",H128-InventoryTable[[#This Row],[Units Sold]])</f>
        <v>3</v>
      </c>
      <c r="W128">
        <f t="shared" si="15"/>
        <v>0</v>
      </c>
      <c r="X128">
        <f t="shared" si="16"/>
        <v>0</v>
      </c>
      <c r="Y128" t="str">
        <f>IF(C128="","",IF(InventoryTable[[#This Row],[Stock Balance]]&lt;=0,"Sold Out",IF((InventoryTable[[#This Row],[Stock Balance]]/InventoryTable[[#This Row],[Total Pieces]])&lt;=0.25,"Low on Stocks","Available")))</f>
        <v>Available</v>
      </c>
    </row>
    <row r="129" spans="1:25" x14ac:dyDescent="0.3">
      <c r="A129" t="str">
        <f>IF(C129="","",_xlfn.CONCAT(LEFT(InventoryTable[[#This Row],[Category]],1),InventoryTable[[#This Row],[Product Pricing Type]],ROW()))</f>
        <v>SFM129</v>
      </c>
      <c r="B129" s="7">
        <v>46269</v>
      </c>
      <c r="C129" t="s">
        <v>237</v>
      </c>
      <c r="D129" t="s">
        <v>238</v>
      </c>
      <c r="E129" t="s">
        <v>31</v>
      </c>
      <c r="F129">
        <v>1</v>
      </c>
      <c r="G129">
        <v>3</v>
      </c>
      <c r="H129">
        <f t="shared" si="9"/>
        <v>3</v>
      </c>
      <c r="I129">
        <v>75</v>
      </c>
      <c r="J129">
        <v>1</v>
      </c>
      <c r="K129">
        <f t="shared" si="10"/>
        <v>25</v>
      </c>
      <c r="L129" s="2" t="s">
        <v>61</v>
      </c>
      <c r="M129" s="5">
        <v>0.05</v>
      </c>
      <c r="N129">
        <f t="shared" si="11"/>
        <v>26.25</v>
      </c>
      <c r="O129" s="3">
        <v>0.05</v>
      </c>
      <c r="P129">
        <f t="shared" si="12"/>
        <v>27.5625</v>
      </c>
      <c r="Q129" s="4">
        <f t="shared" si="13"/>
        <v>28</v>
      </c>
      <c r="R129">
        <v>0</v>
      </c>
      <c r="S129">
        <f t="shared" si="14"/>
        <v>3</v>
      </c>
      <c r="T129">
        <f>IF(C129="","",InventoryTable[[#This Row],[Profit per Unit]]*InventoryTable[[#This Row],[Total Pieces]])</f>
        <v>9</v>
      </c>
      <c r="U129">
        <f t="shared" si="17"/>
        <v>0</v>
      </c>
      <c r="V129">
        <f>IF(C129="","",H129-InventoryTable[[#This Row],[Units Sold]])</f>
        <v>3</v>
      </c>
      <c r="W129">
        <f t="shared" si="15"/>
        <v>0</v>
      </c>
      <c r="X129">
        <f t="shared" si="16"/>
        <v>0</v>
      </c>
      <c r="Y129" t="str">
        <f>IF(C129="","",IF(InventoryTable[[#This Row],[Stock Balance]]&lt;=0,"Sold Out",IF((InventoryTable[[#This Row],[Stock Balance]]/InventoryTable[[#This Row],[Total Pieces]])&lt;=0.25,"Low on Stocks","Available")))</f>
        <v>Available</v>
      </c>
    </row>
    <row r="130" spans="1:25" x14ac:dyDescent="0.3">
      <c r="A130" t="str">
        <f>IF(C130="","",_xlfn.CONCAT(LEFT(InventoryTable[[#This Row],[Category]],1),InventoryTable[[#This Row],[Product Pricing Type]],ROW()))</f>
        <v>EFM130</v>
      </c>
      <c r="B130" s="7">
        <v>46269</v>
      </c>
      <c r="C130" t="s">
        <v>240</v>
      </c>
      <c r="D130" t="s">
        <v>240</v>
      </c>
      <c r="E130" t="s">
        <v>241</v>
      </c>
      <c r="F130">
        <v>1</v>
      </c>
      <c r="G130">
        <v>30</v>
      </c>
      <c r="H130">
        <f t="shared" ref="H130:H170" si="18">IF(C130="","",G130*F130)</f>
        <v>30</v>
      </c>
      <c r="I130">
        <v>275</v>
      </c>
      <c r="J130">
        <v>1</v>
      </c>
      <c r="K130">
        <f t="shared" ref="K130:K170" si="19">IF(C130="","",IF(J130=1,I130/H130,I130*G130*F130))</f>
        <v>9.1666666666666661</v>
      </c>
      <c r="L130" s="2" t="s">
        <v>61</v>
      </c>
      <c r="M130" s="5">
        <v>0.05</v>
      </c>
      <c r="N130">
        <f t="shared" ref="N130:N170" si="20">IF(C130="","",IF(J130=1,K130+(K130*M130),I130+(I130*M130)))</f>
        <v>9.625</v>
      </c>
      <c r="O130" s="3">
        <v>0.1</v>
      </c>
      <c r="P130">
        <f t="shared" ref="P130:P170" si="21">IF(C130="","",N130+(N130*O130))</f>
        <v>10.5875</v>
      </c>
      <c r="Q130" s="4">
        <f t="shared" ref="Q130:Q170" si="22">IF(C130="","",ROUNDUP(P130,0))</f>
        <v>11</v>
      </c>
      <c r="R130">
        <v>0</v>
      </c>
      <c r="S130">
        <f t="shared" ref="S130:S170" si="23">IF(C130="","",IF(COUNTIF(C130,"*Fixed*")&gt;0,(K130-R130)/H130,IF(J130=1,Q130-K130,Q130-I130)))</f>
        <v>1.8333333333333339</v>
      </c>
      <c r="T130">
        <f>IF(C130="","",InventoryTable[[#This Row],[Profit per Unit]]*InventoryTable[[#This Row],[Total Pieces]])</f>
        <v>55.000000000000014</v>
      </c>
      <c r="U130">
        <v>4</v>
      </c>
      <c r="V130">
        <f>IF(C130="","",H130-InventoryTable[[#This Row],[Units Sold]])</f>
        <v>26</v>
      </c>
      <c r="W130">
        <f t="shared" ref="W130:W193" si="24">IF(C130="","",Q130*U130)</f>
        <v>44</v>
      </c>
      <c r="X130">
        <f t="shared" ref="X130:X193" si="25">IF(C130="","",S130*U130)</f>
        <v>7.3333333333333357</v>
      </c>
      <c r="Y130" t="str">
        <f>IF(C130="","",IF(InventoryTable[[#This Row],[Stock Balance]]&lt;=0,"Sold Out",IF((InventoryTable[[#This Row],[Stock Balance]]/InventoryTable[[#This Row],[Total Pieces]])&lt;=0.25,"Low on Stocks","Available")))</f>
        <v>Available</v>
      </c>
    </row>
    <row r="131" spans="1:25" x14ac:dyDescent="0.3">
      <c r="A131" t="str">
        <f>IF(C131="","",_xlfn.CONCAT(LEFT(InventoryTable[[#This Row],[Category]],1),InventoryTable[[#This Row],[Product Pricing Type]],ROW()))</f>
        <v>FFM131</v>
      </c>
      <c r="B131" s="7">
        <v>46269</v>
      </c>
      <c r="C131" t="s">
        <v>244</v>
      </c>
      <c r="D131" t="s">
        <v>242</v>
      </c>
      <c r="E131" t="s">
        <v>243</v>
      </c>
      <c r="F131">
        <v>1</v>
      </c>
      <c r="G131">
        <v>25</v>
      </c>
      <c r="H131">
        <f t="shared" si="18"/>
        <v>25</v>
      </c>
      <c r="I131">
        <v>60</v>
      </c>
      <c r="J131">
        <v>0</v>
      </c>
      <c r="K131">
        <f t="shared" si="19"/>
        <v>1500</v>
      </c>
      <c r="L131" s="2" t="s">
        <v>61</v>
      </c>
      <c r="M131" s="5">
        <v>0</v>
      </c>
      <c r="N131">
        <f t="shared" si="20"/>
        <v>60</v>
      </c>
      <c r="O131" s="3">
        <v>0</v>
      </c>
      <c r="P131">
        <f t="shared" si="21"/>
        <v>60</v>
      </c>
      <c r="Q131" s="4">
        <f t="shared" si="22"/>
        <v>60</v>
      </c>
      <c r="R131">
        <v>1375</v>
      </c>
      <c r="S131">
        <f t="shared" si="23"/>
        <v>5</v>
      </c>
      <c r="T131">
        <f>IF(C131="","",InventoryTable[[#This Row],[Profit per Unit]]*InventoryTable[[#This Row],[Total Pieces]])</f>
        <v>125</v>
      </c>
      <c r="U131">
        <v>5</v>
      </c>
      <c r="V131">
        <f>IF(C131="","",H131-InventoryTable[[#This Row],[Units Sold]])</f>
        <v>20</v>
      </c>
      <c r="W131">
        <f t="shared" si="24"/>
        <v>300</v>
      </c>
      <c r="X131">
        <f t="shared" si="25"/>
        <v>25</v>
      </c>
      <c r="Y131" t="str">
        <f>IF(C131="","",IF(InventoryTable[[#This Row],[Stock Balance]]&lt;=0,"Sold Out",IF((InventoryTable[[#This Row],[Stock Balance]]/InventoryTable[[#This Row],[Total Pieces]])&lt;=0.25,"Low on Stocks","Available")))</f>
        <v>Available</v>
      </c>
    </row>
    <row r="132" spans="1:25" x14ac:dyDescent="0.3">
      <c r="A132" t="str">
        <f>IF(C132="","",_xlfn.CONCAT(LEFT(InventoryTable[[#This Row],[Category]],1),InventoryTable[[#This Row],[Product Pricing Type]],ROW()))</f>
        <v>CFM132</v>
      </c>
      <c r="B132" s="7">
        <v>46269</v>
      </c>
      <c r="C132" t="s">
        <v>245</v>
      </c>
      <c r="D132" t="s">
        <v>246</v>
      </c>
      <c r="E132" t="s">
        <v>247</v>
      </c>
      <c r="F132">
        <v>1</v>
      </c>
      <c r="G132">
        <v>3</v>
      </c>
      <c r="H132">
        <f t="shared" si="18"/>
        <v>3</v>
      </c>
      <c r="I132">
        <v>105.9</v>
      </c>
      <c r="J132">
        <v>1</v>
      </c>
      <c r="K132">
        <f t="shared" si="19"/>
        <v>35.300000000000004</v>
      </c>
      <c r="L132" s="2" t="s">
        <v>61</v>
      </c>
      <c r="M132" s="5">
        <v>0.05</v>
      </c>
      <c r="N132">
        <f t="shared" si="20"/>
        <v>37.065000000000005</v>
      </c>
      <c r="O132" s="3">
        <v>0</v>
      </c>
      <c r="P132">
        <f t="shared" si="21"/>
        <v>37.065000000000005</v>
      </c>
      <c r="Q132" s="4">
        <f t="shared" si="22"/>
        <v>38</v>
      </c>
      <c r="R132">
        <v>0</v>
      </c>
      <c r="S132">
        <f t="shared" si="23"/>
        <v>2.6999999999999957</v>
      </c>
      <c r="T132">
        <f>IF(C132="","",InventoryTable[[#This Row],[Profit per Unit]]*InventoryTable[[#This Row],[Total Pieces]])</f>
        <v>8.0999999999999872</v>
      </c>
      <c r="U132">
        <f t="shared" ref="U132:U193" si="26">IF(C132="","",0)</f>
        <v>0</v>
      </c>
      <c r="V132">
        <f>IF(C132="","",H132-InventoryTable[[#This Row],[Units Sold]])</f>
        <v>3</v>
      </c>
      <c r="W132">
        <f t="shared" si="24"/>
        <v>0</v>
      </c>
      <c r="X132">
        <f t="shared" si="25"/>
        <v>0</v>
      </c>
      <c r="Y132" t="str">
        <f>IF(C132="","",IF(InventoryTable[[#This Row],[Stock Balance]]&lt;=0,"Sold Out",IF((InventoryTable[[#This Row],[Stock Balance]]/InventoryTable[[#This Row],[Total Pieces]])&lt;=0.25,"Low on Stocks","Available")))</f>
        <v>Available</v>
      </c>
    </row>
    <row r="133" spans="1:25" x14ac:dyDescent="0.3">
      <c r="A133" t="str">
        <f>IF(C133="","",_xlfn.CONCAT(LEFT(InventoryTable[[#This Row],[Category]],1),InventoryTable[[#This Row],[Product Pricing Type]],ROW()))</f>
        <v>MFM133</v>
      </c>
      <c r="B133" s="7">
        <v>46269</v>
      </c>
      <c r="C133" t="s">
        <v>248</v>
      </c>
      <c r="D133" t="s">
        <v>246</v>
      </c>
      <c r="E133" t="s">
        <v>247</v>
      </c>
      <c r="F133">
        <v>1</v>
      </c>
      <c r="G133">
        <v>3</v>
      </c>
      <c r="H133">
        <f t="shared" si="18"/>
        <v>3</v>
      </c>
      <c r="I133">
        <v>63.75</v>
      </c>
      <c r="J133">
        <v>1</v>
      </c>
      <c r="K133">
        <f t="shared" si="19"/>
        <v>21.25</v>
      </c>
      <c r="L133" s="2" t="s">
        <v>61</v>
      </c>
      <c r="M133" s="5">
        <v>0.05</v>
      </c>
      <c r="N133">
        <f t="shared" si="20"/>
        <v>22.3125</v>
      </c>
      <c r="O133" s="3">
        <v>0.05</v>
      </c>
      <c r="P133">
        <f t="shared" si="21"/>
        <v>23.428125000000001</v>
      </c>
      <c r="Q133" s="4">
        <f t="shared" si="22"/>
        <v>24</v>
      </c>
      <c r="R133">
        <v>0</v>
      </c>
      <c r="S133">
        <f t="shared" si="23"/>
        <v>2.75</v>
      </c>
      <c r="T133">
        <f>IF(C133="","",InventoryTable[[#This Row],[Profit per Unit]]*InventoryTable[[#This Row],[Total Pieces]])</f>
        <v>8.25</v>
      </c>
      <c r="U133">
        <f t="shared" si="26"/>
        <v>0</v>
      </c>
      <c r="V133">
        <f>IF(C133="","",H133-InventoryTable[[#This Row],[Units Sold]])</f>
        <v>3</v>
      </c>
      <c r="W133">
        <f t="shared" si="24"/>
        <v>0</v>
      </c>
      <c r="X133">
        <f t="shared" si="25"/>
        <v>0</v>
      </c>
      <c r="Y133" t="str">
        <f>IF(C133="","",IF(InventoryTable[[#This Row],[Stock Balance]]&lt;=0,"Sold Out",IF((InventoryTable[[#This Row],[Stock Balance]]/InventoryTable[[#This Row],[Total Pieces]])&lt;=0.25,"Low on Stocks","Available")))</f>
        <v>Available</v>
      </c>
    </row>
    <row r="134" spans="1:25" x14ac:dyDescent="0.3">
      <c r="A134" t="str">
        <f>IF(C134="","",_xlfn.CONCAT(LEFT(InventoryTable[[#This Row],[Category]],1),InventoryTable[[#This Row],[Product Pricing Type]],ROW()))</f>
        <v>BFM134</v>
      </c>
      <c r="B134" s="7">
        <v>46269</v>
      </c>
      <c r="C134" t="s">
        <v>249</v>
      </c>
      <c r="D134" t="s">
        <v>250</v>
      </c>
      <c r="E134" t="s">
        <v>251</v>
      </c>
      <c r="F134">
        <v>1</v>
      </c>
      <c r="G134">
        <v>2</v>
      </c>
      <c r="H134">
        <f t="shared" si="18"/>
        <v>2</v>
      </c>
      <c r="I134">
        <v>65</v>
      </c>
      <c r="J134">
        <v>1</v>
      </c>
      <c r="K134">
        <f t="shared" si="19"/>
        <v>32.5</v>
      </c>
      <c r="L134" s="2" t="s">
        <v>61</v>
      </c>
      <c r="M134" s="5">
        <v>0.05</v>
      </c>
      <c r="N134">
        <f t="shared" si="20"/>
        <v>34.125</v>
      </c>
      <c r="O134" s="3">
        <v>0</v>
      </c>
      <c r="P134">
        <f t="shared" si="21"/>
        <v>34.125</v>
      </c>
      <c r="Q134" s="4">
        <f t="shared" si="22"/>
        <v>35</v>
      </c>
      <c r="R134">
        <v>0</v>
      </c>
      <c r="S134">
        <f t="shared" si="23"/>
        <v>2.5</v>
      </c>
      <c r="T134">
        <f>IF(C134="","",InventoryTable[[#This Row],[Profit per Unit]]*InventoryTable[[#This Row],[Total Pieces]])</f>
        <v>5</v>
      </c>
      <c r="U134">
        <f t="shared" si="26"/>
        <v>0</v>
      </c>
      <c r="V134">
        <f>IF(C134="","",H134-InventoryTable[[#This Row],[Units Sold]])</f>
        <v>2</v>
      </c>
      <c r="W134">
        <f t="shared" si="24"/>
        <v>0</v>
      </c>
      <c r="X134">
        <f t="shared" si="25"/>
        <v>0</v>
      </c>
      <c r="Y134" t="str">
        <f>IF(C134="","",IF(InventoryTable[[#This Row],[Stock Balance]]&lt;=0,"Sold Out",IF((InventoryTable[[#This Row],[Stock Balance]]/InventoryTable[[#This Row],[Total Pieces]])&lt;=0.25,"Low on Stocks","Available")))</f>
        <v>Available</v>
      </c>
    </row>
    <row r="135" spans="1:25" x14ac:dyDescent="0.3">
      <c r="A135" t="str">
        <f>IF(C135="","",_xlfn.CONCAT(LEFT(InventoryTable[[#This Row],[Category]],1),InventoryTable[[#This Row],[Product Pricing Type]],ROW()))</f>
        <v>SFM135</v>
      </c>
      <c r="B135" s="7">
        <v>46269</v>
      </c>
      <c r="C135" t="s">
        <v>237</v>
      </c>
      <c r="D135" t="s">
        <v>252</v>
      </c>
      <c r="E135" t="s">
        <v>253</v>
      </c>
      <c r="F135">
        <v>1</v>
      </c>
      <c r="G135">
        <v>3</v>
      </c>
      <c r="H135">
        <f t="shared" si="18"/>
        <v>3</v>
      </c>
      <c r="I135">
        <v>74.400000000000006</v>
      </c>
      <c r="J135">
        <v>1</v>
      </c>
      <c r="K135">
        <f t="shared" si="19"/>
        <v>24.8</v>
      </c>
      <c r="L135" s="2" t="s">
        <v>61</v>
      </c>
      <c r="M135" s="5">
        <v>0.05</v>
      </c>
      <c r="N135">
        <f t="shared" si="20"/>
        <v>26.04</v>
      </c>
      <c r="O135" s="3">
        <v>0</v>
      </c>
      <c r="P135">
        <f t="shared" si="21"/>
        <v>26.04</v>
      </c>
      <c r="Q135" s="4">
        <f t="shared" si="22"/>
        <v>27</v>
      </c>
      <c r="R135">
        <v>0</v>
      </c>
      <c r="S135">
        <f t="shared" si="23"/>
        <v>2.1999999999999993</v>
      </c>
      <c r="T135">
        <f>IF(C135="","",InventoryTable[[#This Row],[Profit per Unit]]*InventoryTable[[#This Row],[Total Pieces]])</f>
        <v>6.5999999999999979</v>
      </c>
      <c r="U135">
        <f t="shared" si="26"/>
        <v>0</v>
      </c>
      <c r="V135">
        <f>IF(C135="","",H135-InventoryTable[[#This Row],[Units Sold]])</f>
        <v>3</v>
      </c>
      <c r="W135">
        <f t="shared" si="24"/>
        <v>0</v>
      </c>
      <c r="X135">
        <f t="shared" si="25"/>
        <v>0</v>
      </c>
      <c r="Y135" t="str">
        <f>IF(C135="","",IF(InventoryTable[[#This Row],[Stock Balance]]&lt;=0,"Sold Out",IF((InventoryTable[[#This Row],[Stock Balance]]/InventoryTable[[#This Row],[Total Pieces]])&lt;=0.25,"Low on Stocks","Available")))</f>
        <v>Available</v>
      </c>
    </row>
    <row r="136" spans="1:25" x14ac:dyDescent="0.3">
      <c r="A136" t="str">
        <f>IF(C136="","",_xlfn.CONCAT(LEFT(InventoryTable[[#This Row],[Category]],1),InventoryTable[[#This Row],[Product Pricing Type]],ROW()))</f>
        <v>SFM136</v>
      </c>
      <c r="B136" s="7">
        <v>46269</v>
      </c>
      <c r="C136" t="s">
        <v>237</v>
      </c>
      <c r="D136">
        <v>555</v>
      </c>
      <c r="E136" t="s">
        <v>31</v>
      </c>
      <c r="F136">
        <v>1</v>
      </c>
      <c r="G136">
        <v>2</v>
      </c>
      <c r="H136">
        <f t="shared" si="18"/>
        <v>2</v>
      </c>
      <c r="I136">
        <v>45.3</v>
      </c>
      <c r="J136">
        <v>1</v>
      </c>
      <c r="K136">
        <f t="shared" si="19"/>
        <v>22.65</v>
      </c>
      <c r="L136" s="2" t="s">
        <v>61</v>
      </c>
      <c r="M136" s="5">
        <v>0.05</v>
      </c>
      <c r="N136">
        <f t="shared" si="20"/>
        <v>23.782499999999999</v>
      </c>
      <c r="O136" s="3">
        <v>0.05</v>
      </c>
      <c r="P136">
        <f t="shared" si="21"/>
        <v>24.971625</v>
      </c>
      <c r="Q136" s="4">
        <f t="shared" si="22"/>
        <v>25</v>
      </c>
      <c r="R136">
        <v>0</v>
      </c>
      <c r="S136">
        <f t="shared" si="23"/>
        <v>2.3500000000000014</v>
      </c>
      <c r="T136">
        <f>IF(C136="","",InventoryTable[[#This Row],[Profit per Unit]]*InventoryTable[[#This Row],[Total Pieces]])</f>
        <v>4.7000000000000028</v>
      </c>
      <c r="U136">
        <f t="shared" si="26"/>
        <v>0</v>
      </c>
      <c r="V136">
        <f>IF(C136="","",H136-InventoryTable[[#This Row],[Units Sold]])</f>
        <v>2</v>
      </c>
      <c r="W136">
        <f t="shared" si="24"/>
        <v>0</v>
      </c>
      <c r="X136">
        <f t="shared" si="25"/>
        <v>0</v>
      </c>
      <c r="Y136" t="str">
        <f>IF(C136="","",IF(InventoryTable[[#This Row],[Stock Balance]]&lt;=0,"Sold Out",IF((InventoryTable[[#This Row],[Stock Balance]]/InventoryTable[[#This Row],[Total Pieces]])&lt;=0.25,"Low on Stocks","Available")))</f>
        <v>Available</v>
      </c>
    </row>
    <row r="137" spans="1:25" x14ac:dyDescent="0.3">
      <c r="A137" t="str">
        <f>IF(C137="","",_xlfn.CONCAT(LEFT(InventoryTable[[#This Row],[Category]],1),InventoryTable[[#This Row],[Product Pricing Type]],ROW()))</f>
        <v>SFM137</v>
      </c>
      <c r="B137" s="7">
        <v>46269</v>
      </c>
      <c r="C137" t="s">
        <v>237</v>
      </c>
      <c r="D137" t="s">
        <v>254</v>
      </c>
      <c r="E137" t="s">
        <v>31</v>
      </c>
      <c r="F137">
        <v>1</v>
      </c>
      <c r="G137">
        <v>2</v>
      </c>
      <c r="H137">
        <f t="shared" si="18"/>
        <v>2</v>
      </c>
      <c r="I137">
        <v>46.2</v>
      </c>
      <c r="J137">
        <v>1</v>
      </c>
      <c r="K137">
        <f t="shared" si="19"/>
        <v>23.1</v>
      </c>
      <c r="L137" s="2" t="s">
        <v>61</v>
      </c>
      <c r="M137" s="5">
        <v>0.05</v>
      </c>
      <c r="N137">
        <f t="shared" si="20"/>
        <v>24.255000000000003</v>
      </c>
      <c r="O137" s="3">
        <v>0.05</v>
      </c>
      <c r="P137">
        <f t="shared" si="21"/>
        <v>25.467750000000002</v>
      </c>
      <c r="Q137" s="4">
        <f t="shared" si="22"/>
        <v>26</v>
      </c>
      <c r="R137">
        <v>0</v>
      </c>
      <c r="S137">
        <f t="shared" si="23"/>
        <v>2.8999999999999986</v>
      </c>
      <c r="T137">
        <f>IF(C137="","",InventoryTable[[#This Row],[Profit per Unit]]*InventoryTable[[#This Row],[Total Pieces]])</f>
        <v>5.7999999999999972</v>
      </c>
      <c r="U137">
        <f t="shared" si="26"/>
        <v>0</v>
      </c>
      <c r="V137">
        <f>IF(C137="","",H137-InventoryTable[[#This Row],[Units Sold]])</f>
        <v>2</v>
      </c>
      <c r="W137">
        <f t="shared" si="24"/>
        <v>0</v>
      </c>
      <c r="X137">
        <f t="shared" si="25"/>
        <v>0</v>
      </c>
      <c r="Y137" t="str">
        <f>IF(C137="","",IF(InventoryTable[[#This Row],[Stock Balance]]&lt;=0,"Sold Out",IF((InventoryTable[[#This Row],[Stock Balance]]/InventoryTable[[#This Row],[Total Pieces]])&lt;=0.25,"Low on Stocks","Available")))</f>
        <v>Available</v>
      </c>
    </row>
    <row r="138" spans="1:25" x14ac:dyDescent="0.3">
      <c r="A138" t="str">
        <f>IF(C138="","",_xlfn.CONCAT(LEFT(InventoryTable[[#This Row],[Category]],1),InventoryTable[[#This Row],[Product Pricing Type]],ROW()))</f>
        <v>SFM138</v>
      </c>
      <c r="B138" s="7">
        <v>46269</v>
      </c>
      <c r="C138" t="s">
        <v>237</v>
      </c>
      <c r="D138">
        <v>555</v>
      </c>
      <c r="E138" t="s">
        <v>255</v>
      </c>
      <c r="F138">
        <v>1</v>
      </c>
      <c r="G138">
        <v>2</v>
      </c>
      <c r="H138">
        <f t="shared" si="18"/>
        <v>2</v>
      </c>
      <c r="I138">
        <v>62.7</v>
      </c>
      <c r="J138">
        <v>1</v>
      </c>
      <c r="K138">
        <f t="shared" si="19"/>
        <v>31.35</v>
      </c>
      <c r="L138" s="2" t="s">
        <v>61</v>
      </c>
      <c r="M138" s="5">
        <v>0.05</v>
      </c>
      <c r="N138">
        <f t="shared" si="20"/>
        <v>32.917500000000004</v>
      </c>
      <c r="O138" s="3">
        <v>0.03</v>
      </c>
      <c r="P138">
        <f t="shared" si="21"/>
        <v>33.905025000000002</v>
      </c>
      <c r="Q138" s="4">
        <f t="shared" si="22"/>
        <v>34</v>
      </c>
      <c r="R138">
        <v>0</v>
      </c>
      <c r="S138">
        <f t="shared" si="23"/>
        <v>2.6499999999999986</v>
      </c>
      <c r="T138">
        <f>IF(C138="","",InventoryTable[[#This Row],[Profit per Unit]]*InventoryTable[[#This Row],[Total Pieces]])</f>
        <v>5.2999999999999972</v>
      </c>
      <c r="U138">
        <f t="shared" si="26"/>
        <v>0</v>
      </c>
      <c r="V138">
        <f>IF(C138="","",H138-InventoryTable[[#This Row],[Units Sold]])</f>
        <v>2</v>
      </c>
      <c r="W138">
        <f t="shared" si="24"/>
        <v>0</v>
      </c>
      <c r="X138">
        <f t="shared" si="25"/>
        <v>0</v>
      </c>
      <c r="Y138" t="str">
        <f>IF(C138="","",IF(InventoryTable[[#This Row],[Stock Balance]]&lt;=0,"Sold Out",IF((InventoryTable[[#This Row],[Stock Balance]]/InventoryTable[[#This Row],[Total Pieces]])&lt;=0.25,"Low on Stocks","Available")))</f>
        <v>Available</v>
      </c>
    </row>
    <row r="139" spans="1:25" x14ac:dyDescent="0.3">
      <c r="A139" t="str">
        <f>IF(C139="","",_xlfn.CONCAT(LEFT(InventoryTable[[#This Row],[Category]],1),InventoryTable[[#This Row],[Product Pricing Type]],ROW()))</f>
        <v>SFM139</v>
      </c>
      <c r="B139" s="7">
        <v>46269</v>
      </c>
      <c r="C139" t="s">
        <v>237</v>
      </c>
      <c r="D139" t="s">
        <v>252</v>
      </c>
      <c r="E139" t="s">
        <v>256</v>
      </c>
      <c r="F139">
        <v>1</v>
      </c>
      <c r="G139">
        <v>3</v>
      </c>
      <c r="H139">
        <f t="shared" si="18"/>
        <v>3</v>
      </c>
      <c r="I139">
        <v>73.8</v>
      </c>
      <c r="J139">
        <v>1</v>
      </c>
      <c r="K139">
        <f t="shared" si="19"/>
        <v>24.599999999999998</v>
      </c>
      <c r="L139" s="2" t="s">
        <v>61</v>
      </c>
      <c r="M139" s="5">
        <v>0.05</v>
      </c>
      <c r="N139">
        <f t="shared" si="20"/>
        <v>25.83</v>
      </c>
      <c r="O139" s="3">
        <v>0.03</v>
      </c>
      <c r="P139">
        <f t="shared" si="21"/>
        <v>26.604899999999997</v>
      </c>
      <c r="Q139" s="4">
        <f t="shared" si="22"/>
        <v>27</v>
      </c>
      <c r="R139">
        <v>0</v>
      </c>
      <c r="S139">
        <f t="shared" si="23"/>
        <v>2.4000000000000021</v>
      </c>
      <c r="T139">
        <f>IF(C139="","",InventoryTable[[#This Row],[Profit per Unit]]*InventoryTable[[#This Row],[Total Pieces]])</f>
        <v>7.2000000000000064</v>
      </c>
      <c r="U139">
        <f t="shared" si="26"/>
        <v>0</v>
      </c>
      <c r="V139">
        <f>IF(C139="","",H139-InventoryTable[[#This Row],[Units Sold]])</f>
        <v>3</v>
      </c>
      <c r="W139">
        <f t="shared" si="24"/>
        <v>0</v>
      </c>
      <c r="X139">
        <f t="shared" si="25"/>
        <v>0</v>
      </c>
      <c r="Y139" t="str">
        <f>IF(C139="","",IF(InventoryTable[[#This Row],[Stock Balance]]&lt;=0,"Sold Out",IF((InventoryTable[[#This Row],[Stock Balance]]/InventoryTable[[#This Row],[Total Pieces]])&lt;=0.25,"Low on Stocks","Available")))</f>
        <v>Available</v>
      </c>
    </row>
    <row r="140" spans="1:25" x14ac:dyDescent="0.3">
      <c r="A140" t="str">
        <f>IF(C140="","",_xlfn.CONCAT(LEFT(InventoryTable[[#This Row],[Category]],1),InventoryTable[[#This Row],[Product Pricing Type]],ROW()))</f>
        <v>MFM140</v>
      </c>
      <c r="B140" s="7">
        <v>46269</v>
      </c>
      <c r="C140" t="s">
        <v>157</v>
      </c>
      <c r="D140" t="s">
        <v>233</v>
      </c>
      <c r="E140" t="s">
        <v>257</v>
      </c>
      <c r="F140">
        <v>1</v>
      </c>
      <c r="G140">
        <v>2</v>
      </c>
      <c r="H140">
        <f t="shared" si="18"/>
        <v>2</v>
      </c>
      <c r="I140">
        <v>39.5</v>
      </c>
      <c r="J140">
        <v>1</v>
      </c>
      <c r="K140">
        <f t="shared" si="19"/>
        <v>19.75</v>
      </c>
      <c r="L140" s="2" t="s">
        <v>61</v>
      </c>
      <c r="M140" s="5">
        <v>0.05</v>
      </c>
      <c r="N140">
        <f t="shared" si="20"/>
        <v>20.737500000000001</v>
      </c>
      <c r="O140" s="3">
        <v>0.05</v>
      </c>
      <c r="P140">
        <f t="shared" si="21"/>
        <v>21.774374999999999</v>
      </c>
      <c r="Q140" s="4">
        <f t="shared" si="22"/>
        <v>22</v>
      </c>
      <c r="R140">
        <v>0</v>
      </c>
      <c r="S140">
        <f t="shared" si="23"/>
        <v>2.25</v>
      </c>
      <c r="T140">
        <f>IF(C140="","",InventoryTable[[#This Row],[Profit per Unit]]*InventoryTable[[#This Row],[Total Pieces]])</f>
        <v>4.5</v>
      </c>
      <c r="U140">
        <f t="shared" si="26"/>
        <v>0</v>
      </c>
      <c r="V140">
        <f>IF(C140="","",H140-InventoryTable[[#This Row],[Units Sold]])</f>
        <v>2</v>
      </c>
      <c r="W140">
        <f t="shared" si="24"/>
        <v>0</v>
      </c>
      <c r="X140">
        <f t="shared" si="25"/>
        <v>0</v>
      </c>
      <c r="Y140" t="str">
        <f>IF(C140="","",IF(InventoryTable[[#This Row],[Stock Balance]]&lt;=0,"Sold Out",IF((InventoryTable[[#This Row],[Stock Balance]]/InventoryTable[[#This Row],[Total Pieces]])&lt;=0.25,"Low on Stocks","Available")))</f>
        <v>Available</v>
      </c>
    </row>
    <row r="141" spans="1:25" x14ac:dyDescent="0.3">
      <c r="A141" t="str">
        <f>IF(C141="","",_xlfn.CONCAT(LEFT(InventoryTable[[#This Row],[Category]],1),InventoryTable[[#This Row],[Product Pricing Type]],ROW()))</f>
        <v>MFM141</v>
      </c>
      <c r="B141" s="7">
        <v>46269</v>
      </c>
      <c r="C141" t="s">
        <v>157</v>
      </c>
      <c r="D141" t="s">
        <v>233</v>
      </c>
      <c r="E141" t="s">
        <v>258</v>
      </c>
      <c r="F141">
        <v>1</v>
      </c>
      <c r="G141">
        <v>3</v>
      </c>
      <c r="H141">
        <f t="shared" si="18"/>
        <v>3</v>
      </c>
      <c r="I141">
        <v>104.25</v>
      </c>
      <c r="J141">
        <v>1</v>
      </c>
      <c r="K141">
        <f t="shared" si="19"/>
        <v>34.75</v>
      </c>
      <c r="L141" s="2" t="s">
        <v>61</v>
      </c>
      <c r="M141" s="5">
        <v>0.05</v>
      </c>
      <c r="N141">
        <f t="shared" si="20"/>
        <v>36.487499999999997</v>
      </c>
      <c r="O141" s="3">
        <v>0</v>
      </c>
      <c r="P141">
        <f t="shared" si="21"/>
        <v>36.487499999999997</v>
      </c>
      <c r="Q141" s="4">
        <f t="shared" si="22"/>
        <v>37</v>
      </c>
      <c r="R141">
        <v>0</v>
      </c>
      <c r="S141">
        <f t="shared" si="23"/>
        <v>2.25</v>
      </c>
      <c r="T141">
        <f>IF(C141="","",InventoryTable[[#This Row],[Profit per Unit]]*InventoryTable[[#This Row],[Total Pieces]])</f>
        <v>6.75</v>
      </c>
      <c r="U141">
        <f t="shared" si="26"/>
        <v>0</v>
      </c>
      <c r="V141">
        <f>IF(C141="","",H141-InventoryTable[[#This Row],[Units Sold]])</f>
        <v>3</v>
      </c>
      <c r="W141">
        <f t="shared" si="24"/>
        <v>0</v>
      </c>
      <c r="X141">
        <f t="shared" si="25"/>
        <v>0</v>
      </c>
      <c r="Y141" t="str">
        <f>IF(C141="","",IF(InventoryTable[[#This Row],[Stock Balance]]&lt;=0,"Sold Out",IF((InventoryTable[[#This Row],[Stock Balance]]/InventoryTable[[#This Row],[Total Pieces]])&lt;=0.25,"Low on Stocks","Available")))</f>
        <v>Available</v>
      </c>
    </row>
    <row r="142" spans="1:25" x14ac:dyDescent="0.3">
      <c r="A142" t="str">
        <f>IF(C142="","",_xlfn.CONCAT(LEFT(InventoryTable[[#This Row],[Category]],1),InventoryTable[[#This Row],[Product Pricing Type]],ROW()))</f>
        <v>AFM142</v>
      </c>
      <c r="B142" s="7">
        <v>46269</v>
      </c>
      <c r="C142" t="s">
        <v>259</v>
      </c>
      <c r="D142" t="s">
        <v>260</v>
      </c>
      <c r="E142" t="s">
        <v>261</v>
      </c>
      <c r="F142">
        <v>1</v>
      </c>
      <c r="G142">
        <v>2</v>
      </c>
      <c r="H142">
        <f t="shared" si="18"/>
        <v>2</v>
      </c>
      <c r="I142">
        <v>562</v>
      </c>
      <c r="J142">
        <v>1</v>
      </c>
      <c r="K142">
        <f t="shared" si="19"/>
        <v>281</v>
      </c>
      <c r="L142" s="2" t="s">
        <v>61</v>
      </c>
      <c r="M142" s="5">
        <v>4.7500000000000001E-2</v>
      </c>
      <c r="N142">
        <f t="shared" si="20"/>
        <v>294.34750000000003</v>
      </c>
      <c r="O142" s="3">
        <v>0</v>
      </c>
      <c r="P142">
        <f t="shared" si="21"/>
        <v>294.34750000000003</v>
      </c>
      <c r="Q142" s="4">
        <f t="shared" si="22"/>
        <v>295</v>
      </c>
      <c r="R142">
        <v>0</v>
      </c>
      <c r="S142">
        <f t="shared" si="23"/>
        <v>14</v>
      </c>
      <c r="T142">
        <f>IF(C142="","",InventoryTable[[#This Row],[Profit per Unit]]*InventoryTable[[#This Row],[Total Pieces]])</f>
        <v>28</v>
      </c>
      <c r="U142">
        <f t="shared" si="26"/>
        <v>0</v>
      </c>
      <c r="V142">
        <f>IF(C142="","",H142-InventoryTable[[#This Row],[Units Sold]])</f>
        <v>2</v>
      </c>
      <c r="W142">
        <f t="shared" si="24"/>
        <v>0</v>
      </c>
      <c r="X142">
        <f t="shared" si="25"/>
        <v>0</v>
      </c>
      <c r="Y142" t="str">
        <f>IF(C142="","",IF(InventoryTable[[#This Row],[Stock Balance]]&lt;=0,"Sold Out",IF((InventoryTable[[#This Row],[Stock Balance]]/InventoryTable[[#This Row],[Total Pieces]])&lt;=0.25,"Low on Stocks","Available")))</f>
        <v>Available</v>
      </c>
    </row>
    <row r="143" spans="1:25" x14ac:dyDescent="0.3">
      <c r="A143" t="str">
        <f>IF(C143="","",_xlfn.CONCAT(LEFT(InventoryTable[[#This Row],[Category]],1),InventoryTable[[#This Row],[Product Pricing Type]],ROW()))</f>
        <v>AFM143</v>
      </c>
      <c r="B143" s="7">
        <v>46269</v>
      </c>
      <c r="C143" t="s">
        <v>259</v>
      </c>
      <c r="D143" t="s">
        <v>262</v>
      </c>
      <c r="E143" t="s">
        <v>263</v>
      </c>
      <c r="F143">
        <v>1</v>
      </c>
      <c r="G143">
        <v>2</v>
      </c>
      <c r="H143">
        <f t="shared" si="18"/>
        <v>2</v>
      </c>
      <c r="I143">
        <v>279</v>
      </c>
      <c r="J143">
        <v>1</v>
      </c>
      <c r="K143">
        <f t="shared" si="19"/>
        <v>139.5</v>
      </c>
      <c r="L143" s="2" t="s">
        <v>61</v>
      </c>
      <c r="M143" s="5">
        <v>0.04</v>
      </c>
      <c r="N143">
        <f t="shared" si="20"/>
        <v>145.08000000000001</v>
      </c>
      <c r="O143" s="3">
        <v>0.03</v>
      </c>
      <c r="P143">
        <f t="shared" si="21"/>
        <v>149.4324</v>
      </c>
      <c r="Q143" s="4">
        <f t="shared" si="22"/>
        <v>150</v>
      </c>
      <c r="R143">
        <v>0</v>
      </c>
      <c r="S143">
        <f t="shared" si="23"/>
        <v>10.5</v>
      </c>
      <c r="T143">
        <f>IF(C143="","",InventoryTable[[#This Row],[Profit per Unit]]*InventoryTable[[#This Row],[Total Pieces]])</f>
        <v>21</v>
      </c>
      <c r="U143">
        <f t="shared" si="26"/>
        <v>0</v>
      </c>
      <c r="V143">
        <f>IF(C143="","",H143-InventoryTable[[#This Row],[Units Sold]])</f>
        <v>2</v>
      </c>
      <c r="W143">
        <f t="shared" si="24"/>
        <v>0</v>
      </c>
      <c r="X143">
        <f t="shared" si="25"/>
        <v>0</v>
      </c>
      <c r="Y143" t="str">
        <f>IF(C143="","",IF(InventoryTable[[#This Row],[Stock Balance]]&lt;=0,"Sold Out",IF((InventoryTable[[#This Row],[Stock Balance]]/InventoryTable[[#This Row],[Total Pieces]])&lt;=0.25,"Low on Stocks","Available")))</f>
        <v>Available</v>
      </c>
    </row>
    <row r="144" spans="1:25" x14ac:dyDescent="0.3">
      <c r="A144" t="str">
        <f>IF(C144="","",_xlfn.CONCAT(LEFT(InventoryTable[[#This Row],[Category]],1),InventoryTable[[#This Row],[Product Pricing Type]],ROW()))</f>
        <v>JFM144</v>
      </c>
      <c r="B144" s="7">
        <v>46269</v>
      </c>
      <c r="C144" t="s">
        <v>204</v>
      </c>
      <c r="D144" t="s">
        <v>264</v>
      </c>
      <c r="E144" t="s">
        <v>265</v>
      </c>
      <c r="F144">
        <v>1</v>
      </c>
      <c r="G144">
        <v>10</v>
      </c>
      <c r="H144">
        <f t="shared" si="18"/>
        <v>10</v>
      </c>
      <c r="I144">
        <v>92</v>
      </c>
      <c r="J144">
        <v>1</v>
      </c>
      <c r="K144">
        <f t="shared" si="19"/>
        <v>9.1999999999999993</v>
      </c>
      <c r="L144" s="2" t="s">
        <v>61</v>
      </c>
      <c r="M144" s="5">
        <v>0.05</v>
      </c>
      <c r="N144">
        <f t="shared" si="20"/>
        <v>9.66</v>
      </c>
      <c r="O144" s="3">
        <v>0.25</v>
      </c>
      <c r="P144">
        <f t="shared" si="21"/>
        <v>12.074999999999999</v>
      </c>
      <c r="Q144" s="4">
        <f t="shared" si="22"/>
        <v>13</v>
      </c>
      <c r="R144">
        <v>0</v>
      </c>
      <c r="S144">
        <f t="shared" si="23"/>
        <v>3.8000000000000007</v>
      </c>
      <c r="T144">
        <f>IF(C144="","",InventoryTable[[#This Row],[Profit per Unit]]*InventoryTable[[#This Row],[Total Pieces]])</f>
        <v>38.000000000000007</v>
      </c>
      <c r="U144">
        <f t="shared" si="26"/>
        <v>0</v>
      </c>
      <c r="V144">
        <f>IF(C144="","",H144-InventoryTable[[#This Row],[Units Sold]])</f>
        <v>10</v>
      </c>
      <c r="W144">
        <f t="shared" si="24"/>
        <v>0</v>
      </c>
      <c r="X144">
        <f t="shared" si="25"/>
        <v>0</v>
      </c>
      <c r="Y144" t="str">
        <f>IF(C144="","",IF(InventoryTable[[#This Row],[Stock Balance]]&lt;=0,"Sold Out",IF((InventoryTable[[#This Row],[Stock Balance]]/InventoryTable[[#This Row],[Total Pieces]])&lt;=0.25,"Low on Stocks","Available")))</f>
        <v>Available</v>
      </c>
    </row>
    <row r="145" spans="1:25" x14ac:dyDescent="0.3">
      <c r="A145" t="str">
        <f>IF(C145="","",_xlfn.CONCAT(LEFT(InventoryTable[[#This Row],[Category]],1),InventoryTable[[#This Row],[Product Pricing Type]],ROW()))</f>
        <v>JFM145</v>
      </c>
      <c r="B145" s="7">
        <v>46269</v>
      </c>
      <c r="C145" t="s">
        <v>204</v>
      </c>
      <c r="D145" t="s">
        <v>264</v>
      </c>
      <c r="E145" t="s">
        <v>206</v>
      </c>
      <c r="F145">
        <v>1</v>
      </c>
      <c r="G145">
        <v>10</v>
      </c>
      <c r="H145">
        <f t="shared" si="18"/>
        <v>10</v>
      </c>
      <c r="I145">
        <v>92</v>
      </c>
      <c r="J145">
        <v>1</v>
      </c>
      <c r="K145">
        <f t="shared" si="19"/>
        <v>9.1999999999999993</v>
      </c>
      <c r="L145" s="2" t="s">
        <v>61</v>
      </c>
      <c r="M145" s="5">
        <v>0.05</v>
      </c>
      <c r="N145">
        <f t="shared" si="20"/>
        <v>9.66</v>
      </c>
      <c r="O145" s="3">
        <v>0.25</v>
      </c>
      <c r="P145">
        <f t="shared" si="21"/>
        <v>12.074999999999999</v>
      </c>
      <c r="Q145" s="4">
        <f t="shared" si="22"/>
        <v>13</v>
      </c>
      <c r="R145">
        <v>0</v>
      </c>
      <c r="S145">
        <f t="shared" si="23"/>
        <v>3.8000000000000007</v>
      </c>
      <c r="T145">
        <f>IF(C145="","",InventoryTable[[#This Row],[Profit per Unit]]*InventoryTable[[#This Row],[Total Pieces]])</f>
        <v>38.000000000000007</v>
      </c>
      <c r="U145">
        <f t="shared" si="26"/>
        <v>0</v>
      </c>
      <c r="V145">
        <f>IF(C145="","",H145-InventoryTable[[#This Row],[Units Sold]])</f>
        <v>10</v>
      </c>
      <c r="W145">
        <f t="shared" si="24"/>
        <v>0</v>
      </c>
      <c r="X145">
        <f t="shared" si="25"/>
        <v>0</v>
      </c>
      <c r="Y145" t="str">
        <f>IF(C145="","",IF(InventoryTable[[#This Row],[Stock Balance]]&lt;=0,"Sold Out",IF((InventoryTable[[#This Row],[Stock Balance]]/InventoryTable[[#This Row],[Total Pieces]])&lt;=0.25,"Low on Stocks","Available")))</f>
        <v>Available</v>
      </c>
    </row>
    <row r="146" spans="1:25" x14ac:dyDescent="0.3">
      <c r="A146" t="str">
        <f>IF(C146="","",_xlfn.CONCAT(LEFT(InventoryTable[[#This Row],[Category]],1),InventoryTable[[#This Row],[Product Pricing Type]],ROW()))</f>
        <v>JFM146</v>
      </c>
      <c r="B146" s="7">
        <v>46269</v>
      </c>
      <c r="C146" t="s">
        <v>204</v>
      </c>
      <c r="D146" t="s">
        <v>264</v>
      </c>
      <c r="E146" t="s">
        <v>211</v>
      </c>
      <c r="F146">
        <v>1</v>
      </c>
      <c r="G146">
        <v>10</v>
      </c>
      <c r="H146">
        <f t="shared" si="18"/>
        <v>10</v>
      </c>
      <c r="I146">
        <v>101</v>
      </c>
      <c r="J146">
        <v>1</v>
      </c>
      <c r="K146">
        <f t="shared" si="19"/>
        <v>10.1</v>
      </c>
      <c r="L146" s="2" t="s">
        <v>61</v>
      </c>
      <c r="M146" s="5">
        <v>0.05</v>
      </c>
      <c r="N146">
        <f t="shared" si="20"/>
        <v>10.605</v>
      </c>
      <c r="O146" s="3">
        <v>0.25</v>
      </c>
      <c r="P146">
        <f t="shared" si="21"/>
        <v>13.256250000000001</v>
      </c>
      <c r="Q146" s="4">
        <f t="shared" si="22"/>
        <v>14</v>
      </c>
      <c r="R146">
        <v>0</v>
      </c>
      <c r="S146">
        <f t="shared" si="23"/>
        <v>3.9000000000000004</v>
      </c>
      <c r="T146">
        <f>IF(C146="","",InventoryTable[[#This Row],[Profit per Unit]]*InventoryTable[[#This Row],[Total Pieces]])</f>
        <v>39</v>
      </c>
      <c r="U146">
        <f t="shared" si="26"/>
        <v>0</v>
      </c>
      <c r="V146">
        <f>IF(C146="","",H146-InventoryTable[[#This Row],[Units Sold]])</f>
        <v>10</v>
      </c>
      <c r="W146">
        <f t="shared" si="24"/>
        <v>0</v>
      </c>
      <c r="X146">
        <f t="shared" si="25"/>
        <v>0</v>
      </c>
      <c r="Y146" t="str">
        <f>IF(C146="","",IF(InventoryTable[[#This Row],[Stock Balance]]&lt;=0,"Sold Out",IF((InventoryTable[[#This Row],[Stock Balance]]/InventoryTable[[#This Row],[Total Pieces]])&lt;=0.25,"Low on Stocks","Available")))</f>
        <v>Available</v>
      </c>
    </row>
    <row r="147" spans="1:25" x14ac:dyDescent="0.3">
      <c r="A147" t="str">
        <f>IF(C147="","",_xlfn.CONCAT(LEFT(InventoryTable[[#This Row],[Category]],1),InventoryTable[[#This Row],[Product Pricing Type]],ROW()))</f>
        <v>JFM147</v>
      </c>
      <c r="B147" s="7">
        <v>46269</v>
      </c>
      <c r="C147" t="s">
        <v>204</v>
      </c>
      <c r="D147" t="s">
        <v>266</v>
      </c>
      <c r="E147" t="s">
        <v>267</v>
      </c>
      <c r="F147">
        <v>1</v>
      </c>
      <c r="G147">
        <v>10</v>
      </c>
      <c r="H147">
        <f t="shared" si="18"/>
        <v>10</v>
      </c>
      <c r="I147">
        <v>202</v>
      </c>
      <c r="J147">
        <v>1</v>
      </c>
      <c r="K147">
        <f t="shared" si="19"/>
        <v>20.2</v>
      </c>
      <c r="L147" s="2" t="s">
        <v>61</v>
      </c>
      <c r="M147" s="5">
        <v>0.05</v>
      </c>
      <c r="N147">
        <f t="shared" si="20"/>
        <v>21.21</v>
      </c>
      <c r="O147" s="3">
        <v>0.15</v>
      </c>
      <c r="P147">
        <f t="shared" si="21"/>
        <v>24.391500000000001</v>
      </c>
      <c r="Q147" s="4">
        <f t="shared" si="22"/>
        <v>25</v>
      </c>
      <c r="R147">
        <v>0</v>
      </c>
      <c r="S147">
        <f t="shared" si="23"/>
        <v>4.8000000000000007</v>
      </c>
      <c r="T147">
        <f>IF(C147="","",InventoryTable[[#This Row],[Profit per Unit]]*InventoryTable[[#This Row],[Total Pieces]])</f>
        <v>48.000000000000007</v>
      </c>
      <c r="U147">
        <f t="shared" si="26"/>
        <v>0</v>
      </c>
      <c r="V147">
        <f>IF(C147="","",H147-InventoryTable[[#This Row],[Units Sold]])</f>
        <v>10</v>
      </c>
      <c r="W147">
        <f t="shared" si="24"/>
        <v>0</v>
      </c>
      <c r="X147">
        <f t="shared" si="25"/>
        <v>0</v>
      </c>
      <c r="Y147" t="str">
        <f>IF(C147="","",IF(InventoryTable[[#This Row],[Stock Balance]]&lt;=0,"Sold Out",IF((InventoryTable[[#This Row],[Stock Balance]]/InventoryTable[[#This Row],[Total Pieces]])&lt;=0.25,"Low on Stocks","Available")))</f>
        <v>Available</v>
      </c>
    </row>
    <row r="148" spans="1:25" x14ac:dyDescent="0.3">
      <c r="A148" t="str">
        <f>IF(C148="","",_xlfn.CONCAT(LEFT(InventoryTable[[#This Row],[Category]],1),InventoryTable[[#This Row],[Product Pricing Type]],ROW()))</f>
        <v>AFM148</v>
      </c>
      <c r="B148" s="7">
        <v>46269</v>
      </c>
      <c r="C148" t="s">
        <v>259</v>
      </c>
      <c r="D148" t="s">
        <v>268</v>
      </c>
      <c r="E148" t="s">
        <v>269</v>
      </c>
      <c r="F148">
        <v>1</v>
      </c>
      <c r="G148">
        <v>7</v>
      </c>
      <c r="H148">
        <f t="shared" si="18"/>
        <v>7</v>
      </c>
      <c r="I148">
        <v>491.75</v>
      </c>
      <c r="J148">
        <v>1</v>
      </c>
      <c r="K148">
        <f t="shared" si="19"/>
        <v>70.25</v>
      </c>
      <c r="L148" s="2" t="s">
        <v>61</v>
      </c>
      <c r="M148" s="5">
        <v>0.05</v>
      </c>
      <c r="N148">
        <f t="shared" si="20"/>
        <v>73.762500000000003</v>
      </c>
      <c r="O148" s="3">
        <v>0.08</v>
      </c>
      <c r="P148">
        <f t="shared" si="21"/>
        <v>79.663499999999999</v>
      </c>
      <c r="Q148" s="4">
        <f t="shared" si="22"/>
        <v>80</v>
      </c>
      <c r="R148">
        <v>0</v>
      </c>
      <c r="S148">
        <f t="shared" si="23"/>
        <v>9.75</v>
      </c>
      <c r="T148">
        <f>IF(C148="","",InventoryTable[[#This Row],[Profit per Unit]]*InventoryTable[[#This Row],[Total Pieces]])</f>
        <v>68.25</v>
      </c>
      <c r="U148">
        <f t="shared" si="26"/>
        <v>0</v>
      </c>
      <c r="V148">
        <f>IF(C148="","",H148-InventoryTable[[#This Row],[Units Sold]])</f>
        <v>7</v>
      </c>
      <c r="W148">
        <f t="shared" si="24"/>
        <v>0</v>
      </c>
      <c r="X148">
        <f t="shared" si="25"/>
        <v>0</v>
      </c>
      <c r="Y148" t="str">
        <f>IF(C148="","",IF(InventoryTable[[#This Row],[Stock Balance]]&lt;=0,"Sold Out",IF((InventoryTable[[#This Row],[Stock Balance]]/InventoryTable[[#This Row],[Total Pieces]])&lt;=0.25,"Low on Stocks","Available")))</f>
        <v>Available</v>
      </c>
    </row>
    <row r="149" spans="1:25" x14ac:dyDescent="0.3">
      <c r="A149" t="str">
        <f>IF(C149="","",_xlfn.CONCAT(LEFT(InventoryTable[[#This Row],[Category]],1),InventoryTable[[#This Row],[Product Pricing Type]],ROW()))</f>
        <v>AFM149</v>
      </c>
      <c r="B149" s="7">
        <v>46269</v>
      </c>
      <c r="C149" t="s">
        <v>259</v>
      </c>
      <c r="D149" t="s">
        <v>268</v>
      </c>
      <c r="E149" t="s">
        <v>270</v>
      </c>
      <c r="F149">
        <v>1</v>
      </c>
      <c r="G149">
        <v>2</v>
      </c>
      <c r="H149">
        <f t="shared" si="18"/>
        <v>2</v>
      </c>
      <c r="I149">
        <v>285.5</v>
      </c>
      <c r="J149">
        <v>1</v>
      </c>
      <c r="K149">
        <f t="shared" si="19"/>
        <v>142.75</v>
      </c>
      <c r="L149" s="2" t="s">
        <v>61</v>
      </c>
      <c r="M149" s="5">
        <v>0.05</v>
      </c>
      <c r="N149">
        <f t="shared" si="20"/>
        <v>149.88749999999999</v>
      </c>
      <c r="O149" s="3">
        <v>0</v>
      </c>
      <c r="P149">
        <f t="shared" si="21"/>
        <v>149.88749999999999</v>
      </c>
      <c r="Q149" s="4">
        <f t="shared" si="22"/>
        <v>150</v>
      </c>
      <c r="R149">
        <v>0</v>
      </c>
      <c r="S149">
        <f t="shared" si="23"/>
        <v>7.25</v>
      </c>
      <c r="T149">
        <f>IF(C149="","",InventoryTable[[#This Row],[Profit per Unit]]*InventoryTable[[#This Row],[Total Pieces]])</f>
        <v>14.5</v>
      </c>
      <c r="U149">
        <f t="shared" si="26"/>
        <v>0</v>
      </c>
      <c r="V149">
        <f>IF(C149="","",H149-InventoryTable[[#This Row],[Units Sold]])</f>
        <v>2</v>
      </c>
      <c r="W149">
        <f t="shared" si="24"/>
        <v>0</v>
      </c>
      <c r="X149">
        <f t="shared" si="25"/>
        <v>0</v>
      </c>
      <c r="Y149" t="str">
        <f>IF(C149="","",IF(InventoryTable[[#This Row],[Stock Balance]]&lt;=0,"Sold Out",IF((InventoryTable[[#This Row],[Stock Balance]]/InventoryTable[[#This Row],[Total Pieces]])&lt;=0.25,"Low on Stocks","Available")))</f>
        <v>Available</v>
      </c>
    </row>
    <row r="150" spans="1:25" x14ac:dyDescent="0.3">
      <c r="A150" t="str">
        <f>IF(C150="","",_xlfn.CONCAT(LEFT(InventoryTable[[#This Row],[Category]],1),InventoryTable[[#This Row],[Product Pricing Type]],ROW()))</f>
        <v>CFM150</v>
      </c>
      <c r="B150" s="7">
        <v>46269</v>
      </c>
      <c r="C150" t="s">
        <v>272</v>
      </c>
      <c r="D150" t="s">
        <v>272</v>
      </c>
      <c r="E150" t="s">
        <v>273</v>
      </c>
      <c r="F150">
        <v>1</v>
      </c>
      <c r="G150">
        <v>82</v>
      </c>
      <c r="H150">
        <f t="shared" si="18"/>
        <v>82</v>
      </c>
      <c r="I150">
        <v>359</v>
      </c>
      <c r="J150">
        <v>1</v>
      </c>
      <c r="K150">
        <f t="shared" si="19"/>
        <v>4.3780487804878048</v>
      </c>
      <c r="L150" s="2" t="s">
        <v>61</v>
      </c>
      <c r="M150" s="5">
        <v>0.05</v>
      </c>
      <c r="N150">
        <f t="shared" si="20"/>
        <v>4.5969512195121949</v>
      </c>
      <c r="O150" s="3">
        <v>0</v>
      </c>
      <c r="P150">
        <f t="shared" si="21"/>
        <v>4.5969512195121949</v>
      </c>
      <c r="Q150" s="4">
        <f t="shared" si="22"/>
        <v>5</v>
      </c>
      <c r="R150">
        <v>0</v>
      </c>
      <c r="S150">
        <f t="shared" si="23"/>
        <v>0.62195121951219523</v>
      </c>
      <c r="T150">
        <f>IF(C150="","",InventoryTable[[#This Row],[Profit per Unit]]*InventoryTable[[#This Row],[Total Pieces]])</f>
        <v>51.000000000000007</v>
      </c>
      <c r="U150">
        <v>8</v>
      </c>
      <c r="V150">
        <f>IF(C150="","",H150-InventoryTable[[#This Row],[Units Sold]])</f>
        <v>74</v>
      </c>
      <c r="W150">
        <f t="shared" si="24"/>
        <v>40</v>
      </c>
      <c r="X150">
        <f t="shared" si="25"/>
        <v>4.9756097560975618</v>
      </c>
      <c r="Y150" t="str">
        <f>IF(C150="","",IF(InventoryTable[[#This Row],[Stock Balance]]&lt;=0,"Sold Out",IF((InventoryTable[[#This Row],[Stock Balance]]/InventoryTable[[#This Row],[Total Pieces]])&lt;=0.25,"Low on Stocks","Available")))</f>
        <v>Available</v>
      </c>
    </row>
    <row r="151" spans="1:25" x14ac:dyDescent="0.3">
      <c r="A151" t="str">
        <f>IF(C151="","",_xlfn.CONCAT(LEFT(InventoryTable[[#This Row],[Category]],1),InventoryTable[[#This Row],[Product Pricing Type]],ROW()))</f>
        <v>OFM151</v>
      </c>
      <c r="B151" s="7">
        <v>46269</v>
      </c>
      <c r="C151" t="s">
        <v>275</v>
      </c>
      <c r="D151" t="s">
        <v>275</v>
      </c>
      <c r="E151" t="s">
        <v>275</v>
      </c>
      <c r="F151">
        <v>1</v>
      </c>
      <c r="G151">
        <v>25</v>
      </c>
      <c r="H151">
        <f t="shared" si="18"/>
        <v>25</v>
      </c>
      <c r="I151">
        <v>100</v>
      </c>
      <c r="J151">
        <v>1</v>
      </c>
      <c r="K151">
        <f t="shared" si="19"/>
        <v>4</v>
      </c>
      <c r="L151" s="2" t="s">
        <v>61</v>
      </c>
      <c r="M151" s="5">
        <v>0.05</v>
      </c>
      <c r="N151">
        <f t="shared" si="20"/>
        <v>4.2</v>
      </c>
      <c r="O151" s="3">
        <v>0.2</v>
      </c>
      <c r="P151">
        <f t="shared" si="21"/>
        <v>5.04</v>
      </c>
      <c r="Q151" s="4">
        <f t="shared" si="22"/>
        <v>6</v>
      </c>
      <c r="R151">
        <v>0</v>
      </c>
      <c r="S151">
        <f t="shared" si="23"/>
        <v>2</v>
      </c>
      <c r="T151">
        <f>IF(C151="","",InventoryTable[[#This Row],[Profit per Unit]]*InventoryTable[[#This Row],[Total Pieces]])</f>
        <v>50</v>
      </c>
      <c r="U151">
        <v>4</v>
      </c>
      <c r="V151">
        <f>IF(C151="","",H151-InventoryTable[[#This Row],[Units Sold]])</f>
        <v>21</v>
      </c>
      <c r="W151">
        <f t="shared" si="24"/>
        <v>24</v>
      </c>
      <c r="X151">
        <f t="shared" si="25"/>
        <v>8</v>
      </c>
      <c r="Y151" t="str">
        <f>IF(C151="","",IF(InventoryTable[[#This Row],[Stock Balance]]&lt;=0,"Sold Out",IF((InventoryTable[[#This Row],[Stock Balance]]/InventoryTable[[#This Row],[Total Pieces]])&lt;=0.25,"Low on Stocks","Available")))</f>
        <v>Available</v>
      </c>
    </row>
    <row r="152" spans="1:25" x14ac:dyDescent="0.3">
      <c r="A152" t="str">
        <f>IF(C152="","",_xlfn.CONCAT(LEFT(InventoryTable[[#This Row],[Category]],1),InventoryTable[[#This Row],[Product Pricing Type]],ROW()))</f>
        <v>GFM152</v>
      </c>
      <c r="B152" s="7">
        <v>46269</v>
      </c>
      <c r="C152" t="s">
        <v>276</v>
      </c>
      <c r="D152" t="s">
        <v>276</v>
      </c>
      <c r="E152" t="s">
        <v>276</v>
      </c>
      <c r="F152">
        <v>1</v>
      </c>
      <c r="G152">
        <v>7</v>
      </c>
      <c r="H152">
        <f t="shared" si="18"/>
        <v>7</v>
      </c>
      <c r="I152">
        <v>58</v>
      </c>
      <c r="J152">
        <v>1</v>
      </c>
      <c r="K152">
        <f t="shared" si="19"/>
        <v>8.2857142857142865</v>
      </c>
      <c r="L152" s="2" t="s">
        <v>61</v>
      </c>
      <c r="M152" s="5">
        <v>0.05</v>
      </c>
      <c r="N152">
        <f t="shared" si="20"/>
        <v>8.7000000000000011</v>
      </c>
      <c r="O152" s="3">
        <v>0.2</v>
      </c>
      <c r="P152">
        <f t="shared" si="21"/>
        <v>10.440000000000001</v>
      </c>
      <c r="Q152" s="4">
        <f t="shared" si="22"/>
        <v>11</v>
      </c>
      <c r="R152">
        <v>0</v>
      </c>
      <c r="S152">
        <f t="shared" si="23"/>
        <v>2.7142857142857135</v>
      </c>
      <c r="T152">
        <f>IF(C152="","",InventoryTable[[#This Row],[Profit per Unit]]*InventoryTable[[#This Row],[Total Pieces]])</f>
        <v>18.999999999999993</v>
      </c>
      <c r="U152">
        <v>1</v>
      </c>
      <c r="V152">
        <f>IF(C152="","",H152-InventoryTable[[#This Row],[Units Sold]])</f>
        <v>6</v>
      </c>
      <c r="W152">
        <f t="shared" si="24"/>
        <v>11</v>
      </c>
      <c r="X152">
        <f t="shared" si="25"/>
        <v>2.7142857142857135</v>
      </c>
      <c r="Y152" t="str">
        <f>IF(C152="","",IF(InventoryTable[[#This Row],[Stock Balance]]&lt;=0,"Sold Out",IF((InventoryTable[[#This Row],[Stock Balance]]/InventoryTable[[#This Row],[Total Pieces]])&lt;=0.25,"Low on Stocks","Available")))</f>
        <v>Available</v>
      </c>
    </row>
    <row r="153" spans="1:25" x14ac:dyDescent="0.3">
      <c r="A153" t="str">
        <f>IF(C153="","",_xlfn.CONCAT(LEFT(InventoryTable[[#This Row],[Category]],1),InventoryTable[[#This Row],[Product Pricing Type]],ROW()))</f>
        <v>TFM153</v>
      </c>
      <c r="B153" s="7">
        <v>46269</v>
      </c>
      <c r="C153" t="s">
        <v>277</v>
      </c>
      <c r="D153" t="s">
        <v>277</v>
      </c>
      <c r="E153" t="s">
        <v>277</v>
      </c>
      <c r="F153">
        <v>1</v>
      </c>
      <c r="G153">
        <v>22</v>
      </c>
      <c r="H153">
        <f t="shared" si="18"/>
        <v>22</v>
      </c>
      <c r="I153">
        <v>99</v>
      </c>
      <c r="J153">
        <v>1</v>
      </c>
      <c r="K153">
        <f t="shared" si="19"/>
        <v>4.5</v>
      </c>
      <c r="L153" s="2" t="s">
        <v>61</v>
      </c>
      <c r="M153" s="5">
        <v>0.05</v>
      </c>
      <c r="N153">
        <f t="shared" si="20"/>
        <v>4.7249999999999996</v>
      </c>
      <c r="O153" s="3">
        <v>0.3</v>
      </c>
      <c r="P153">
        <f t="shared" si="21"/>
        <v>6.1424999999999992</v>
      </c>
      <c r="Q153" s="4">
        <f t="shared" si="22"/>
        <v>7</v>
      </c>
      <c r="R153">
        <v>0</v>
      </c>
      <c r="S153">
        <f t="shared" si="23"/>
        <v>2.5</v>
      </c>
      <c r="T153">
        <f>IF(C153="","",InventoryTable[[#This Row],[Profit per Unit]]*InventoryTable[[#This Row],[Total Pieces]])</f>
        <v>55</v>
      </c>
      <c r="U153">
        <v>1</v>
      </c>
      <c r="V153">
        <f>IF(C153="","",H153-InventoryTable[[#This Row],[Units Sold]])</f>
        <v>21</v>
      </c>
      <c r="W153">
        <f t="shared" si="24"/>
        <v>7</v>
      </c>
      <c r="X153">
        <f t="shared" si="25"/>
        <v>2.5</v>
      </c>
      <c r="Y153" t="str">
        <f>IF(C153="","",IF(InventoryTable[[#This Row],[Stock Balance]]&lt;=0,"Sold Out",IF((InventoryTable[[#This Row],[Stock Balance]]/InventoryTable[[#This Row],[Total Pieces]])&lt;=0.25,"Low on Stocks","Available")))</f>
        <v>Available</v>
      </c>
    </row>
    <row r="154" spans="1:25" x14ac:dyDescent="0.3">
      <c r="A154" t="str">
        <f>IF(C154="","",_xlfn.CONCAT(LEFT(InventoryTable[[#This Row],[Category]],1),InventoryTable[[#This Row],[Product Pricing Type]],ROW()))</f>
        <v>GFM154</v>
      </c>
      <c r="B154" s="7">
        <v>46269</v>
      </c>
      <c r="C154" t="s">
        <v>278</v>
      </c>
      <c r="D154" t="s">
        <v>278</v>
      </c>
      <c r="E154" t="s">
        <v>278</v>
      </c>
      <c r="F154">
        <v>1</v>
      </c>
      <c r="G154">
        <v>6</v>
      </c>
      <c r="H154">
        <f t="shared" si="18"/>
        <v>6</v>
      </c>
      <c r="I154">
        <v>78</v>
      </c>
      <c r="J154">
        <v>1</v>
      </c>
      <c r="K154">
        <f t="shared" si="19"/>
        <v>13</v>
      </c>
      <c r="L154" s="2" t="s">
        <v>61</v>
      </c>
      <c r="M154" s="5">
        <v>0.05</v>
      </c>
      <c r="N154">
        <f t="shared" si="20"/>
        <v>13.65</v>
      </c>
      <c r="O154" s="3">
        <v>0.05</v>
      </c>
      <c r="P154">
        <f t="shared" si="21"/>
        <v>14.3325</v>
      </c>
      <c r="Q154" s="4">
        <f t="shared" si="22"/>
        <v>15</v>
      </c>
      <c r="R154">
        <v>0</v>
      </c>
      <c r="S154">
        <f t="shared" si="23"/>
        <v>2</v>
      </c>
      <c r="T154">
        <f>IF(C154="","",InventoryTable[[#This Row],[Profit per Unit]]*InventoryTable[[#This Row],[Total Pieces]])</f>
        <v>12</v>
      </c>
      <c r="U154">
        <f t="shared" si="26"/>
        <v>0</v>
      </c>
      <c r="V154">
        <f>IF(C154="","",H154-InventoryTable[[#This Row],[Units Sold]])</f>
        <v>6</v>
      </c>
      <c r="W154">
        <f t="shared" si="24"/>
        <v>0</v>
      </c>
      <c r="X154">
        <f t="shared" si="25"/>
        <v>0</v>
      </c>
      <c r="Y154" t="str">
        <f>IF(C154="","",IF(InventoryTable[[#This Row],[Stock Balance]]&lt;=0,"Sold Out",IF((InventoryTable[[#This Row],[Stock Balance]]/InventoryTable[[#This Row],[Total Pieces]])&lt;=0.25,"Low on Stocks","Available")))</f>
        <v>Available</v>
      </c>
    </row>
    <row r="155" spans="1:25" x14ac:dyDescent="0.3">
      <c r="A155" t="str">
        <f>IF(C155="","",_xlfn.CONCAT(LEFT(InventoryTable[[#This Row],[Category]],1),InventoryTable[[#This Row],[Product Pricing Type]],ROW()))</f>
        <v>CFM155</v>
      </c>
      <c r="B155" s="7">
        <v>46269</v>
      </c>
      <c r="C155" t="s">
        <v>222</v>
      </c>
      <c r="D155" t="s">
        <v>199</v>
      </c>
      <c r="E155" t="s">
        <v>279</v>
      </c>
      <c r="F155">
        <v>1</v>
      </c>
      <c r="G155">
        <v>10</v>
      </c>
      <c r="H155">
        <f t="shared" si="18"/>
        <v>10</v>
      </c>
      <c r="I155">
        <v>120</v>
      </c>
      <c r="J155">
        <v>1</v>
      </c>
      <c r="K155">
        <f t="shared" si="19"/>
        <v>12</v>
      </c>
      <c r="L155" s="2" t="s">
        <v>61</v>
      </c>
      <c r="M155" s="5">
        <v>0.05</v>
      </c>
      <c r="N155">
        <f t="shared" si="20"/>
        <v>12.6</v>
      </c>
      <c r="O155" s="3">
        <v>0.1</v>
      </c>
      <c r="P155">
        <f t="shared" si="21"/>
        <v>13.86</v>
      </c>
      <c r="Q155" s="4">
        <f t="shared" si="22"/>
        <v>14</v>
      </c>
      <c r="R155">
        <v>0</v>
      </c>
      <c r="S155">
        <f t="shared" si="23"/>
        <v>2</v>
      </c>
      <c r="T155">
        <f>IF(C155="","",InventoryTable[[#This Row],[Profit per Unit]]*InventoryTable[[#This Row],[Total Pieces]])</f>
        <v>20</v>
      </c>
      <c r="U155">
        <v>2</v>
      </c>
      <c r="V155">
        <f>IF(C155="","",H155-InventoryTable[[#This Row],[Units Sold]])</f>
        <v>8</v>
      </c>
      <c r="W155">
        <f t="shared" si="24"/>
        <v>28</v>
      </c>
      <c r="X155">
        <f t="shared" si="25"/>
        <v>4</v>
      </c>
      <c r="Y155" t="str">
        <f>IF(C155="","",IF(InventoryTable[[#This Row],[Stock Balance]]&lt;=0,"Sold Out",IF((InventoryTable[[#This Row],[Stock Balance]]/InventoryTable[[#This Row],[Total Pieces]])&lt;=0.25,"Low on Stocks","Available")))</f>
        <v>Available</v>
      </c>
    </row>
    <row r="156" spans="1:25" x14ac:dyDescent="0.3">
      <c r="A156" t="str">
        <f>IF(C156="","",_xlfn.CONCAT(LEFT(InventoryTable[[#This Row],[Category]],1),InventoryTable[[#This Row],[Product Pricing Type]],ROW()))</f>
        <v>SNF156</v>
      </c>
      <c r="B156" s="7">
        <v>46269</v>
      </c>
      <c r="C156" t="s">
        <v>280</v>
      </c>
      <c r="D156" t="s">
        <v>280</v>
      </c>
      <c r="E156" t="s">
        <v>344</v>
      </c>
      <c r="F156">
        <v>1</v>
      </c>
      <c r="G156">
        <v>3</v>
      </c>
      <c r="H156">
        <f t="shared" si="18"/>
        <v>3</v>
      </c>
      <c r="I156">
        <v>52.5</v>
      </c>
      <c r="J156">
        <v>1</v>
      </c>
      <c r="K156">
        <f t="shared" si="19"/>
        <v>17.5</v>
      </c>
      <c r="L156" s="2" t="s">
        <v>62</v>
      </c>
      <c r="M156" s="5">
        <v>0.05</v>
      </c>
      <c r="N156">
        <f t="shared" si="20"/>
        <v>18.375</v>
      </c>
      <c r="O156" s="3">
        <v>0.05</v>
      </c>
      <c r="P156">
        <f t="shared" si="21"/>
        <v>19.293749999999999</v>
      </c>
      <c r="Q156" s="4">
        <f t="shared" si="22"/>
        <v>20</v>
      </c>
      <c r="R156">
        <v>0</v>
      </c>
      <c r="S156">
        <f t="shared" si="23"/>
        <v>2.5</v>
      </c>
      <c r="T156">
        <f>IF(C156="","",InventoryTable[[#This Row],[Profit per Unit]]*InventoryTable[[#This Row],[Total Pieces]])</f>
        <v>7.5</v>
      </c>
      <c r="U156">
        <f t="shared" si="26"/>
        <v>0</v>
      </c>
      <c r="V156">
        <f>IF(C156="","",H156-InventoryTable[[#This Row],[Units Sold]])</f>
        <v>3</v>
      </c>
      <c r="W156">
        <f t="shared" si="24"/>
        <v>0</v>
      </c>
      <c r="X156">
        <f t="shared" si="25"/>
        <v>0</v>
      </c>
      <c r="Y156" t="str">
        <f>IF(C156="","",IF(InventoryTable[[#This Row],[Stock Balance]]&lt;=0,"Sold Out",IF((InventoryTable[[#This Row],[Stock Balance]]/InventoryTable[[#This Row],[Total Pieces]])&lt;=0.25,"Low on Stocks","Available")))</f>
        <v>Available</v>
      </c>
    </row>
    <row r="157" spans="1:25" x14ac:dyDescent="0.3">
      <c r="A157" t="str">
        <f>IF(C157="","",_xlfn.CONCAT(LEFT(InventoryTable[[#This Row],[Category]],1),InventoryTable[[#This Row],[Product Pricing Type]],ROW()))</f>
        <v>SFM157</v>
      </c>
      <c r="B157" s="7">
        <v>46269</v>
      </c>
      <c r="C157" t="s">
        <v>281</v>
      </c>
      <c r="D157" t="s">
        <v>282</v>
      </c>
      <c r="E157" t="s">
        <v>281</v>
      </c>
      <c r="F157">
        <v>1</v>
      </c>
      <c r="G157">
        <v>4</v>
      </c>
      <c r="H157">
        <f t="shared" si="18"/>
        <v>4</v>
      </c>
      <c r="I157">
        <v>26</v>
      </c>
      <c r="J157">
        <v>1</v>
      </c>
      <c r="K157">
        <f t="shared" si="19"/>
        <v>6.5</v>
      </c>
      <c r="L157" s="2" t="s">
        <v>61</v>
      </c>
      <c r="M157" s="5">
        <v>0.05</v>
      </c>
      <c r="N157">
        <f t="shared" si="20"/>
        <v>6.8250000000000002</v>
      </c>
      <c r="O157" s="3">
        <v>0.2</v>
      </c>
      <c r="P157">
        <f t="shared" si="21"/>
        <v>8.1900000000000013</v>
      </c>
      <c r="Q157" s="4">
        <f t="shared" si="22"/>
        <v>9</v>
      </c>
      <c r="R157">
        <v>0</v>
      </c>
      <c r="S157">
        <f t="shared" si="23"/>
        <v>2.5</v>
      </c>
      <c r="T157">
        <f>IF(C157="","",InventoryTable[[#This Row],[Profit per Unit]]*InventoryTable[[#This Row],[Total Pieces]])</f>
        <v>10</v>
      </c>
      <c r="U157">
        <f t="shared" si="26"/>
        <v>0</v>
      </c>
      <c r="V157">
        <f>IF(C157="","",H157-InventoryTable[[#This Row],[Units Sold]])</f>
        <v>4</v>
      </c>
      <c r="W157">
        <f t="shared" si="24"/>
        <v>0</v>
      </c>
      <c r="X157">
        <f t="shared" si="25"/>
        <v>0</v>
      </c>
      <c r="Y157" t="str">
        <f>IF(C157="","",IF(InventoryTable[[#This Row],[Stock Balance]]&lt;=0,"Sold Out",IF((InventoryTable[[#This Row],[Stock Balance]]/InventoryTable[[#This Row],[Total Pieces]])&lt;=0.25,"Low on Stocks","Available")))</f>
        <v>Available</v>
      </c>
    </row>
    <row r="158" spans="1:25" x14ac:dyDescent="0.3">
      <c r="A158" t="str">
        <f>IF(C158="","",_xlfn.CONCAT(LEFT(InventoryTable[[#This Row],[Category]],1),InventoryTable[[#This Row],[Product Pricing Type]],ROW()))</f>
        <v>CFM158</v>
      </c>
      <c r="B158" s="7">
        <v>46269</v>
      </c>
      <c r="C158" t="s">
        <v>245</v>
      </c>
      <c r="D158" t="s">
        <v>283</v>
      </c>
      <c r="E158" t="s">
        <v>247</v>
      </c>
      <c r="F158">
        <v>1</v>
      </c>
      <c r="G158">
        <v>3</v>
      </c>
      <c r="H158">
        <f t="shared" si="18"/>
        <v>3</v>
      </c>
      <c r="I158">
        <v>60.3</v>
      </c>
      <c r="J158">
        <v>1</v>
      </c>
      <c r="K158">
        <f t="shared" si="19"/>
        <v>20.099999999999998</v>
      </c>
      <c r="L158" s="2" t="s">
        <v>61</v>
      </c>
      <c r="M158" s="5">
        <v>0.05</v>
      </c>
      <c r="N158">
        <f t="shared" si="20"/>
        <v>21.104999999999997</v>
      </c>
      <c r="O158" s="3">
        <v>0.03</v>
      </c>
      <c r="P158">
        <f t="shared" si="21"/>
        <v>21.738149999999997</v>
      </c>
      <c r="Q158" s="4">
        <f t="shared" si="22"/>
        <v>22</v>
      </c>
      <c r="R158">
        <v>0</v>
      </c>
      <c r="S158">
        <f t="shared" si="23"/>
        <v>1.9000000000000021</v>
      </c>
      <c r="T158">
        <f>IF(C158="","",InventoryTable[[#This Row],[Profit per Unit]]*InventoryTable[[#This Row],[Total Pieces]])</f>
        <v>5.7000000000000064</v>
      </c>
      <c r="U158">
        <f t="shared" si="26"/>
        <v>0</v>
      </c>
      <c r="V158">
        <f>IF(C158="","",H158-InventoryTable[[#This Row],[Units Sold]])</f>
        <v>3</v>
      </c>
      <c r="W158">
        <f t="shared" si="24"/>
        <v>0</v>
      </c>
      <c r="X158">
        <f t="shared" si="25"/>
        <v>0</v>
      </c>
      <c r="Y158" t="str">
        <f>IF(C158="","",IF(InventoryTable[[#This Row],[Stock Balance]]&lt;=0,"Sold Out",IF((InventoryTable[[#This Row],[Stock Balance]]/InventoryTable[[#This Row],[Total Pieces]])&lt;=0.25,"Low on Stocks","Available")))</f>
        <v>Available</v>
      </c>
    </row>
    <row r="159" spans="1:25" x14ac:dyDescent="0.3">
      <c r="A159" t="str">
        <f>IF(C159="","",_xlfn.CONCAT(LEFT(InventoryTable[[#This Row],[Category]],1),InventoryTable[[#This Row],[Product Pricing Type]],ROW()))</f>
        <v>SFM159</v>
      </c>
      <c r="B159" s="7">
        <v>46269</v>
      </c>
      <c r="C159" t="s">
        <v>118</v>
      </c>
      <c r="D159" t="s">
        <v>284</v>
      </c>
      <c r="E159" t="s">
        <v>285</v>
      </c>
      <c r="F159">
        <v>1</v>
      </c>
      <c r="G159">
        <v>3</v>
      </c>
      <c r="H159">
        <f t="shared" si="18"/>
        <v>3</v>
      </c>
      <c r="I159">
        <v>48</v>
      </c>
      <c r="J159">
        <v>1</v>
      </c>
      <c r="K159">
        <f t="shared" si="19"/>
        <v>16</v>
      </c>
      <c r="L159" s="2" t="s">
        <v>61</v>
      </c>
      <c r="M159" s="5">
        <v>0.05</v>
      </c>
      <c r="N159">
        <f t="shared" si="20"/>
        <v>16.8</v>
      </c>
      <c r="O159" s="3">
        <v>0</v>
      </c>
      <c r="P159">
        <f t="shared" si="21"/>
        <v>16.8</v>
      </c>
      <c r="Q159" s="4">
        <f t="shared" si="22"/>
        <v>17</v>
      </c>
      <c r="R159">
        <v>0</v>
      </c>
      <c r="S159">
        <f t="shared" si="23"/>
        <v>1</v>
      </c>
      <c r="T159">
        <f>IF(C159="","",InventoryTable[[#This Row],[Profit per Unit]]*InventoryTable[[#This Row],[Total Pieces]])</f>
        <v>3</v>
      </c>
      <c r="U159">
        <f t="shared" si="26"/>
        <v>0</v>
      </c>
      <c r="V159">
        <f>IF(C159="","",H159-InventoryTable[[#This Row],[Units Sold]])</f>
        <v>3</v>
      </c>
      <c r="W159">
        <f t="shared" si="24"/>
        <v>0</v>
      </c>
      <c r="X159">
        <f t="shared" si="25"/>
        <v>0</v>
      </c>
      <c r="Y159" t="str">
        <f>IF(C159="","",IF(InventoryTable[[#This Row],[Stock Balance]]&lt;=0,"Sold Out",IF((InventoryTable[[#This Row],[Stock Balance]]/InventoryTable[[#This Row],[Total Pieces]])&lt;=0.25,"Low on Stocks","Available")))</f>
        <v>Available</v>
      </c>
    </row>
    <row r="160" spans="1:25" x14ac:dyDescent="0.3">
      <c r="A160" t="str">
        <f>IF(C160="","",_xlfn.CONCAT(LEFT(InventoryTable[[#This Row],[Category]],1),InventoryTable[[#This Row],[Product Pricing Type]],ROW()))</f>
        <v>SFM160</v>
      </c>
      <c r="B160" s="7">
        <v>46269</v>
      </c>
      <c r="C160" t="s">
        <v>118</v>
      </c>
      <c r="D160" t="s">
        <v>121</v>
      </c>
      <c r="E160" t="s">
        <v>286</v>
      </c>
      <c r="F160">
        <v>1</v>
      </c>
      <c r="G160">
        <v>3</v>
      </c>
      <c r="H160">
        <f t="shared" si="18"/>
        <v>3</v>
      </c>
      <c r="I160">
        <v>48</v>
      </c>
      <c r="J160">
        <v>1</v>
      </c>
      <c r="K160">
        <f t="shared" si="19"/>
        <v>16</v>
      </c>
      <c r="L160" s="2" t="s">
        <v>61</v>
      </c>
      <c r="M160" s="5">
        <v>0.05</v>
      </c>
      <c r="N160">
        <f t="shared" si="20"/>
        <v>16.8</v>
      </c>
      <c r="O160" s="3">
        <v>0</v>
      </c>
      <c r="P160">
        <f t="shared" si="21"/>
        <v>16.8</v>
      </c>
      <c r="Q160" s="4">
        <f t="shared" si="22"/>
        <v>17</v>
      </c>
      <c r="R160">
        <v>0</v>
      </c>
      <c r="S160">
        <f t="shared" si="23"/>
        <v>1</v>
      </c>
      <c r="T160">
        <f>IF(C160="","",InventoryTable[[#This Row],[Profit per Unit]]*InventoryTable[[#This Row],[Total Pieces]])</f>
        <v>3</v>
      </c>
      <c r="U160">
        <v>1</v>
      </c>
      <c r="V160">
        <f>IF(C160="","",H160-InventoryTable[[#This Row],[Units Sold]])</f>
        <v>2</v>
      </c>
      <c r="W160">
        <f t="shared" si="24"/>
        <v>17</v>
      </c>
      <c r="X160">
        <f t="shared" si="25"/>
        <v>1</v>
      </c>
      <c r="Y160" t="str">
        <f>IF(C160="","",IF(InventoryTable[[#This Row],[Stock Balance]]&lt;=0,"Sold Out",IF((InventoryTable[[#This Row],[Stock Balance]]/InventoryTable[[#This Row],[Total Pieces]])&lt;=0.25,"Low on Stocks","Available")))</f>
        <v>Available</v>
      </c>
    </row>
    <row r="161" spans="1:25" x14ac:dyDescent="0.3">
      <c r="A161" t="str">
        <f>IF(C161="","",_xlfn.CONCAT(LEFT(InventoryTable[[#This Row],[Category]],1),InventoryTable[[#This Row],[Product Pricing Type]],ROW()))</f>
        <v>FFM161</v>
      </c>
      <c r="B161" s="7">
        <v>46269</v>
      </c>
      <c r="C161" t="s">
        <v>271</v>
      </c>
      <c r="D161" t="s">
        <v>287</v>
      </c>
      <c r="E161" t="s">
        <v>287</v>
      </c>
      <c r="F161">
        <v>1</v>
      </c>
      <c r="G161">
        <f>60/4</f>
        <v>15</v>
      </c>
      <c r="H161">
        <f t="shared" si="18"/>
        <v>15</v>
      </c>
      <c r="I161">
        <v>5</v>
      </c>
      <c r="J161">
        <v>0</v>
      </c>
      <c r="K161">
        <f t="shared" si="19"/>
        <v>75</v>
      </c>
      <c r="L161" s="2" t="s">
        <v>61</v>
      </c>
      <c r="M161" s="5">
        <v>0</v>
      </c>
      <c r="N161">
        <f t="shared" si="20"/>
        <v>5</v>
      </c>
      <c r="O161" s="3">
        <v>0</v>
      </c>
      <c r="P161">
        <f t="shared" si="21"/>
        <v>5</v>
      </c>
      <c r="Q161" s="4">
        <f t="shared" si="22"/>
        <v>5</v>
      </c>
      <c r="R161">
        <v>54</v>
      </c>
      <c r="S161">
        <f t="shared" si="23"/>
        <v>1.4</v>
      </c>
      <c r="T161">
        <f>IF(C161="","",InventoryTable[[#This Row],[Profit per Unit]]*InventoryTable[[#This Row],[Total Pieces]])</f>
        <v>21</v>
      </c>
      <c r="U161">
        <f t="shared" si="26"/>
        <v>0</v>
      </c>
      <c r="V161">
        <f>IF(C161="","",H161-InventoryTable[[#This Row],[Units Sold]])</f>
        <v>15</v>
      </c>
      <c r="W161">
        <f t="shared" si="24"/>
        <v>0</v>
      </c>
      <c r="X161">
        <f t="shared" si="25"/>
        <v>0</v>
      </c>
      <c r="Y161" t="str">
        <f>IF(C161="","",IF(InventoryTable[[#This Row],[Stock Balance]]&lt;=0,"Sold Out",IF((InventoryTable[[#This Row],[Stock Balance]]/InventoryTable[[#This Row],[Total Pieces]])&lt;=0.25,"Low on Stocks","Available")))</f>
        <v>Available</v>
      </c>
    </row>
    <row r="162" spans="1:25" x14ac:dyDescent="0.3">
      <c r="A162" t="str">
        <f>IF(C162="","",_xlfn.CONCAT(LEFT(InventoryTable[[#This Row],[Category]],1),InventoryTable[[#This Row],[Product Pricing Type]],ROW()))</f>
        <v>FFM162</v>
      </c>
      <c r="B162" s="7">
        <v>46269</v>
      </c>
      <c r="C162" t="s">
        <v>271</v>
      </c>
      <c r="D162" t="s">
        <v>288</v>
      </c>
      <c r="E162" t="s">
        <v>288</v>
      </c>
      <c r="F162">
        <v>1</v>
      </c>
      <c r="G162">
        <v>30</v>
      </c>
      <c r="H162">
        <f t="shared" si="18"/>
        <v>30</v>
      </c>
      <c r="I162">
        <v>5</v>
      </c>
      <c r="J162">
        <v>0</v>
      </c>
      <c r="K162">
        <f t="shared" si="19"/>
        <v>150</v>
      </c>
      <c r="L162" s="2" t="s">
        <v>61</v>
      </c>
      <c r="M162" s="5">
        <v>0</v>
      </c>
      <c r="N162">
        <f t="shared" si="20"/>
        <v>5</v>
      </c>
      <c r="O162" s="3">
        <v>0</v>
      </c>
      <c r="P162">
        <f t="shared" si="21"/>
        <v>5</v>
      </c>
      <c r="Q162" s="4">
        <f t="shared" si="22"/>
        <v>5</v>
      </c>
      <c r="R162">
        <v>132</v>
      </c>
      <c r="S162">
        <f t="shared" si="23"/>
        <v>0.6</v>
      </c>
      <c r="T162">
        <f>IF(C162="","",InventoryTable[[#This Row],[Profit per Unit]]*InventoryTable[[#This Row],[Total Pieces]])</f>
        <v>18</v>
      </c>
      <c r="U162">
        <v>2</v>
      </c>
      <c r="V162">
        <f>IF(C162="","",H162-InventoryTable[[#This Row],[Units Sold]])</f>
        <v>28</v>
      </c>
      <c r="W162">
        <f t="shared" si="24"/>
        <v>10</v>
      </c>
      <c r="X162">
        <f t="shared" si="25"/>
        <v>1.2</v>
      </c>
      <c r="Y162" t="str">
        <f>IF(C162="","",IF(InventoryTable[[#This Row],[Stock Balance]]&lt;=0,"Sold Out",IF((InventoryTable[[#This Row],[Stock Balance]]/InventoryTable[[#This Row],[Total Pieces]])&lt;=0.25,"Low on Stocks","Available")))</f>
        <v>Available</v>
      </c>
    </row>
    <row r="163" spans="1:25" x14ac:dyDescent="0.3">
      <c r="A163" t="str">
        <f>IF(C163="","",_xlfn.CONCAT(LEFT(InventoryTable[[#This Row],[Category]],1),InventoryTable[[#This Row],[Product Pricing Type]],ROW()))</f>
        <v>SFM163</v>
      </c>
      <c r="B163" s="7">
        <v>46269</v>
      </c>
      <c r="C163" t="s">
        <v>118</v>
      </c>
      <c r="D163" t="s">
        <v>289</v>
      </c>
      <c r="E163" t="s">
        <v>290</v>
      </c>
      <c r="F163">
        <v>1</v>
      </c>
      <c r="G163">
        <v>10</v>
      </c>
      <c r="H163">
        <f t="shared" si="18"/>
        <v>10</v>
      </c>
      <c r="I163">
        <v>72</v>
      </c>
      <c r="J163">
        <v>1</v>
      </c>
      <c r="K163">
        <f t="shared" si="19"/>
        <v>7.2</v>
      </c>
      <c r="L163" s="2" t="s">
        <v>61</v>
      </c>
      <c r="M163" s="5">
        <v>0.05</v>
      </c>
      <c r="N163">
        <f t="shared" si="20"/>
        <v>7.5600000000000005</v>
      </c>
      <c r="O163" s="3">
        <v>0.15</v>
      </c>
      <c r="P163">
        <f t="shared" si="21"/>
        <v>8.6940000000000008</v>
      </c>
      <c r="Q163" s="4">
        <f t="shared" si="22"/>
        <v>9</v>
      </c>
      <c r="R163">
        <v>0</v>
      </c>
      <c r="S163">
        <f t="shared" si="23"/>
        <v>1.7999999999999998</v>
      </c>
      <c r="T163">
        <f>IF(C163="","",InventoryTable[[#This Row],[Profit per Unit]]*InventoryTable[[#This Row],[Total Pieces]])</f>
        <v>18</v>
      </c>
      <c r="U163">
        <f t="shared" si="26"/>
        <v>0</v>
      </c>
      <c r="V163">
        <f>IF(C163="","",H163-InventoryTable[[#This Row],[Units Sold]])</f>
        <v>10</v>
      </c>
      <c r="W163">
        <f t="shared" si="24"/>
        <v>0</v>
      </c>
      <c r="X163">
        <f t="shared" si="25"/>
        <v>0</v>
      </c>
      <c r="Y163" t="str">
        <f>IF(C163="","",IF(InventoryTable[[#This Row],[Stock Balance]]&lt;=0,"Sold Out",IF((InventoryTable[[#This Row],[Stock Balance]]/InventoryTable[[#This Row],[Total Pieces]])&lt;=0.25,"Low on Stocks","Available")))</f>
        <v>Available</v>
      </c>
    </row>
    <row r="164" spans="1:25" x14ac:dyDescent="0.3">
      <c r="A164" t="str">
        <f>IF(C164="","",_xlfn.CONCAT(LEFT(InventoryTable[[#This Row],[Category]],1),InventoryTable[[#This Row],[Product Pricing Type]],ROW()))</f>
        <v>SFM164</v>
      </c>
      <c r="B164" s="7">
        <v>46269</v>
      </c>
      <c r="C164" t="s">
        <v>118</v>
      </c>
      <c r="D164" t="s">
        <v>291</v>
      </c>
      <c r="E164" t="s">
        <v>292</v>
      </c>
      <c r="F164">
        <v>1</v>
      </c>
      <c r="G164">
        <v>10</v>
      </c>
      <c r="H164">
        <f t="shared" si="18"/>
        <v>10</v>
      </c>
      <c r="I164">
        <v>58</v>
      </c>
      <c r="J164">
        <v>1</v>
      </c>
      <c r="K164">
        <f t="shared" si="19"/>
        <v>5.8</v>
      </c>
      <c r="L164" s="2" t="s">
        <v>61</v>
      </c>
      <c r="M164" s="5">
        <v>0.05</v>
      </c>
      <c r="N164">
        <f t="shared" si="20"/>
        <v>6.09</v>
      </c>
      <c r="O164" s="3">
        <v>0</v>
      </c>
      <c r="P164">
        <f t="shared" si="21"/>
        <v>6.09</v>
      </c>
      <c r="Q164" s="4">
        <f t="shared" si="22"/>
        <v>7</v>
      </c>
      <c r="R164">
        <v>0</v>
      </c>
      <c r="S164">
        <f t="shared" si="23"/>
        <v>1.2000000000000002</v>
      </c>
      <c r="T164">
        <f>IF(C164="","",InventoryTable[[#This Row],[Profit per Unit]]*InventoryTable[[#This Row],[Total Pieces]])</f>
        <v>12.000000000000002</v>
      </c>
      <c r="U164">
        <v>1</v>
      </c>
      <c r="V164">
        <f>IF(C164="","",H164-InventoryTable[[#This Row],[Units Sold]])</f>
        <v>9</v>
      </c>
      <c r="W164">
        <f t="shared" si="24"/>
        <v>7</v>
      </c>
      <c r="X164">
        <f t="shared" si="25"/>
        <v>1.2000000000000002</v>
      </c>
      <c r="Y164" t="str">
        <f>IF(C164="","",IF(InventoryTable[[#This Row],[Stock Balance]]&lt;=0,"Sold Out",IF((InventoryTable[[#This Row],[Stock Balance]]/InventoryTable[[#This Row],[Total Pieces]])&lt;=0.25,"Low on Stocks","Available")))</f>
        <v>Available</v>
      </c>
    </row>
    <row r="165" spans="1:25" x14ac:dyDescent="0.3">
      <c r="A165" t="str">
        <f>IF(C165="","",_xlfn.CONCAT(LEFT(InventoryTable[[#This Row],[Category]],1),InventoryTable[[#This Row],[Product Pricing Type]],ROW()))</f>
        <v>SFM165</v>
      </c>
      <c r="B165" s="7">
        <v>46269</v>
      </c>
      <c r="C165" t="s">
        <v>118</v>
      </c>
      <c r="D165" t="s">
        <v>293</v>
      </c>
      <c r="E165" t="s">
        <v>294</v>
      </c>
      <c r="F165">
        <v>1</v>
      </c>
      <c r="G165">
        <v>10</v>
      </c>
      <c r="H165">
        <f t="shared" si="18"/>
        <v>10</v>
      </c>
      <c r="I165">
        <v>64</v>
      </c>
      <c r="J165">
        <v>1</v>
      </c>
      <c r="K165">
        <f t="shared" si="19"/>
        <v>6.4</v>
      </c>
      <c r="L165" s="2" t="s">
        <v>61</v>
      </c>
      <c r="M165" s="5">
        <v>0.05</v>
      </c>
      <c r="N165">
        <f t="shared" si="20"/>
        <v>6.7200000000000006</v>
      </c>
      <c r="O165" s="3">
        <v>0.05</v>
      </c>
      <c r="P165">
        <f t="shared" si="21"/>
        <v>7.0560000000000009</v>
      </c>
      <c r="Q165" s="4">
        <f t="shared" si="22"/>
        <v>8</v>
      </c>
      <c r="R165">
        <v>0</v>
      </c>
      <c r="S165">
        <f t="shared" si="23"/>
        <v>1.5999999999999996</v>
      </c>
      <c r="T165">
        <f>IF(C165="","",InventoryTable[[#This Row],[Profit per Unit]]*InventoryTable[[#This Row],[Total Pieces]])</f>
        <v>15.999999999999996</v>
      </c>
      <c r="U165">
        <v>2</v>
      </c>
      <c r="V165">
        <f>IF(C165="","",H165-InventoryTable[[#This Row],[Units Sold]])</f>
        <v>8</v>
      </c>
      <c r="W165">
        <f t="shared" si="24"/>
        <v>16</v>
      </c>
      <c r="X165">
        <f t="shared" si="25"/>
        <v>3.1999999999999993</v>
      </c>
      <c r="Y165" t="str">
        <f>IF(C165="","",IF(InventoryTable[[#This Row],[Stock Balance]]&lt;=0,"Sold Out",IF((InventoryTable[[#This Row],[Stock Balance]]/InventoryTable[[#This Row],[Total Pieces]])&lt;=0.25,"Low on Stocks","Available")))</f>
        <v>Available</v>
      </c>
    </row>
    <row r="166" spans="1:25" x14ac:dyDescent="0.3">
      <c r="A166" t="str">
        <f>IF(C166="","",_xlfn.CONCAT(LEFT(InventoryTable[[#This Row],[Category]],1),InventoryTable[[#This Row],[Product Pricing Type]],ROW()))</f>
        <v>SFM166</v>
      </c>
      <c r="B166" s="7">
        <v>46269</v>
      </c>
      <c r="C166" t="s">
        <v>296</v>
      </c>
      <c r="D166" t="s">
        <v>298</v>
      </c>
      <c r="E166" t="s">
        <v>297</v>
      </c>
      <c r="F166">
        <v>2</v>
      </c>
      <c r="G166">
        <v>12</v>
      </c>
      <c r="H166">
        <f t="shared" si="18"/>
        <v>24</v>
      </c>
      <c r="I166">
        <v>620</v>
      </c>
      <c r="J166">
        <v>1</v>
      </c>
      <c r="K166">
        <f t="shared" si="19"/>
        <v>25.833333333333332</v>
      </c>
      <c r="L166" s="2" t="s">
        <v>61</v>
      </c>
      <c r="M166" s="5">
        <v>0</v>
      </c>
      <c r="N166">
        <f t="shared" si="20"/>
        <v>25.833333333333332</v>
      </c>
      <c r="O166" s="3">
        <v>0.23</v>
      </c>
      <c r="P166">
        <f t="shared" si="21"/>
        <v>31.774999999999999</v>
      </c>
      <c r="Q166" s="4">
        <f t="shared" si="22"/>
        <v>32</v>
      </c>
      <c r="R166">
        <v>0</v>
      </c>
      <c r="S166">
        <f t="shared" si="23"/>
        <v>6.1666666666666679</v>
      </c>
      <c r="T166">
        <f>IF(C166="","",InventoryTable[[#This Row],[Profit per Unit]]*InventoryTable[[#This Row],[Total Pieces]])</f>
        <v>148.00000000000003</v>
      </c>
      <c r="U166">
        <f t="shared" si="26"/>
        <v>0</v>
      </c>
      <c r="V166">
        <f>IF(C166="","",H166-InventoryTable[[#This Row],[Units Sold]])</f>
        <v>24</v>
      </c>
      <c r="W166">
        <f t="shared" si="24"/>
        <v>0</v>
      </c>
      <c r="X166">
        <f t="shared" si="25"/>
        <v>0</v>
      </c>
      <c r="Y166" t="str">
        <f>IF(C166="","",IF(InventoryTable[[#This Row],[Stock Balance]]&lt;=0,"Sold Out",IF((InventoryTable[[#This Row],[Stock Balance]]/InventoryTable[[#This Row],[Total Pieces]])&lt;=0.25,"Low on Stocks","Available")))</f>
        <v>Available</v>
      </c>
    </row>
    <row r="167" spans="1:25" x14ac:dyDescent="0.3">
      <c r="A167" t="str">
        <f>IF(C167="","",_xlfn.CONCAT(LEFT(InventoryTable[[#This Row],[Category]],1),InventoryTable[[#This Row],[Product Pricing Type]],ROW()))</f>
        <v>SFM167</v>
      </c>
      <c r="B167" s="7">
        <v>46269</v>
      </c>
      <c r="C167" t="s">
        <v>296</v>
      </c>
      <c r="D167" t="s">
        <v>298</v>
      </c>
      <c r="E167" t="s">
        <v>299</v>
      </c>
      <c r="F167">
        <v>3</v>
      </c>
      <c r="G167">
        <v>24</v>
      </c>
      <c r="H167">
        <f t="shared" si="18"/>
        <v>72</v>
      </c>
      <c r="I167">
        <v>675</v>
      </c>
      <c r="J167">
        <v>1</v>
      </c>
      <c r="K167">
        <f t="shared" si="19"/>
        <v>9.375</v>
      </c>
      <c r="L167" s="2" t="s">
        <v>61</v>
      </c>
      <c r="M167" s="5">
        <v>0</v>
      </c>
      <c r="N167">
        <f t="shared" si="20"/>
        <v>9.375</v>
      </c>
      <c r="O167" s="3">
        <v>0.4</v>
      </c>
      <c r="P167">
        <f t="shared" si="21"/>
        <v>13.125</v>
      </c>
      <c r="Q167" s="4">
        <f t="shared" si="22"/>
        <v>14</v>
      </c>
      <c r="R167">
        <v>0</v>
      </c>
      <c r="S167">
        <f t="shared" si="23"/>
        <v>4.625</v>
      </c>
      <c r="T167">
        <f>IF(C167="","",InventoryTable[[#This Row],[Profit per Unit]]*InventoryTable[[#This Row],[Total Pieces]])</f>
        <v>333</v>
      </c>
      <c r="U167">
        <v>1</v>
      </c>
      <c r="V167">
        <f>IF(C167="","",H167-InventoryTable[[#This Row],[Units Sold]])</f>
        <v>71</v>
      </c>
      <c r="W167">
        <f t="shared" si="24"/>
        <v>14</v>
      </c>
      <c r="X167">
        <f t="shared" si="25"/>
        <v>4.625</v>
      </c>
      <c r="Y167" t="str">
        <f>IF(C167="","",IF(InventoryTable[[#This Row],[Stock Balance]]&lt;=0,"Sold Out",IF((InventoryTable[[#This Row],[Stock Balance]]/InventoryTable[[#This Row],[Total Pieces]])&lt;=0.25,"Low on Stocks","Available")))</f>
        <v>Available</v>
      </c>
    </row>
    <row r="168" spans="1:25" x14ac:dyDescent="0.3">
      <c r="A168" t="str">
        <f>IF(C168="","",_xlfn.CONCAT(LEFT(InventoryTable[[#This Row],[Category]],1),InventoryTable[[#This Row],[Product Pricing Type]],ROW()))</f>
        <v>AFM168</v>
      </c>
      <c r="B168" s="7">
        <v>46269</v>
      </c>
      <c r="C168" t="s">
        <v>259</v>
      </c>
      <c r="D168" t="s">
        <v>301</v>
      </c>
      <c r="E168" t="s">
        <v>300</v>
      </c>
      <c r="F168">
        <v>1</v>
      </c>
      <c r="G168">
        <v>6</v>
      </c>
      <c r="H168">
        <f t="shared" si="18"/>
        <v>6</v>
      </c>
      <c r="I168">
        <v>670</v>
      </c>
      <c r="J168">
        <v>1</v>
      </c>
      <c r="K168">
        <f t="shared" si="19"/>
        <v>111.66666666666667</v>
      </c>
      <c r="L168" s="2" t="s">
        <v>61</v>
      </c>
      <c r="M168" s="5">
        <v>0</v>
      </c>
      <c r="N168">
        <f t="shared" si="20"/>
        <v>111.66666666666667</v>
      </c>
      <c r="O168" s="3">
        <v>0.16</v>
      </c>
      <c r="P168">
        <f t="shared" si="21"/>
        <v>129.53333333333333</v>
      </c>
      <c r="Q168" s="4">
        <f t="shared" si="22"/>
        <v>130</v>
      </c>
      <c r="R168">
        <v>0</v>
      </c>
      <c r="S168">
        <f t="shared" si="23"/>
        <v>18.333333333333329</v>
      </c>
      <c r="T168">
        <f>IF(C168="","",InventoryTable[[#This Row],[Profit per Unit]]*InventoryTable[[#This Row],[Total Pieces]])</f>
        <v>109.99999999999997</v>
      </c>
      <c r="U168">
        <f t="shared" si="26"/>
        <v>0</v>
      </c>
      <c r="V168">
        <f>IF(C168="","",H168-InventoryTable[[#This Row],[Units Sold]])</f>
        <v>6</v>
      </c>
      <c r="W168">
        <f t="shared" si="24"/>
        <v>0</v>
      </c>
      <c r="X168">
        <f t="shared" si="25"/>
        <v>0</v>
      </c>
      <c r="Y168" t="str">
        <f>IF(C168="","",IF(InventoryTable[[#This Row],[Stock Balance]]&lt;=0,"Sold Out",IF((InventoryTable[[#This Row],[Stock Balance]]/InventoryTable[[#This Row],[Total Pieces]])&lt;=0.25,"Low on Stocks","Available")))</f>
        <v>Available</v>
      </c>
    </row>
    <row r="169" spans="1:25" x14ac:dyDescent="0.3">
      <c r="A169" t="str">
        <f>IF(C169="","",_xlfn.CONCAT(LEFT(InventoryTable[[#This Row],[Category]],1),InventoryTable[[#This Row],[Product Pricing Type]],ROW()))</f>
        <v>AFM169</v>
      </c>
      <c r="B169" s="7">
        <v>46269</v>
      </c>
      <c r="C169" t="s">
        <v>259</v>
      </c>
      <c r="D169" t="s">
        <v>301</v>
      </c>
      <c r="E169">
        <v>500</v>
      </c>
      <c r="F169">
        <v>1</v>
      </c>
      <c r="G169">
        <v>12</v>
      </c>
      <c r="H169">
        <f t="shared" si="18"/>
        <v>12</v>
      </c>
      <c r="I169">
        <v>700</v>
      </c>
      <c r="J169">
        <v>1</v>
      </c>
      <c r="K169">
        <f t="shared" si="19"/>
        <v>58.333333333333336</v>
      </c>
      <c r="L169" s="2" t="s">
        <v>61</v>
      </c>
      <c r="M169" s="5">
        <v>0</v>
      </c>
      <c r="N169">
        <f t="shared" si="20"/>
        <v>58.333333333333336</v>
      </c>
      <c r="O169" s="3">
        <v>0.2</v>
      </c>
      <c r="P169">
        <f t="shared" si="21"/>
        <v>70</v>
      </c>
      <c r="Q169" s="4">
        <f t="shared" si="22"/>
        <v>70</v>
      </c>
      <c r="R169">
        <v>0</v>
      </c>
      <c r="S169">
        <f t="shared" si="23"/>
        <v>11.666666666666664</v>
      </c>
      <c r="T169">
        <f>IF(C169="","",InventoryTable[[#This Row],[Profit per Unit]]*InventoryTable[[#This Row],[Total Pieces]])</f>
        <v>139.99999999999997</v>
      </c>
      <c r="U169">
        <f t="shared" si="26"/>
        <v>0</v>
      </c>
      <c r="V169">
        <f>IF(C169="","",H169-InventoryTable[[#This Row],[Units Sold]])</f>
        <v>12</v>
      </c>
      <c r="W169">
        <f t="shared" si="24"/>
        <v>0</v>
      </c>
      <c r="X169">
        <f t="shared" si="25"/>
        <v>0</v>
      </c>
      <c r="Y169" t="str">
        <f>IF(C169="","",IF(InventoryTable[[#This Row],[Stock Balance]]&lt;=0,"Sold Out",IF((InventoryTable[[#This Row],[Stock Balance]]/InventoryTable[[#This Row],[Total Pieces]])&lt;=0.25,"Low on Stocks","Available")))</f>
        <v>Available</v>
      </c>
    </row>
    <row r="170" spans="1:25" x14ac:dyDescent="0.3">
      <c r="A170" t="str">
        <f>IF(C170="","",_xlfn.CONCAT(LEFT(InventoryTable[[#This Row],[Category]],1),InventoryTable[[#This Row],[Product Pricing Type]],ROW()))</f>
        <v>AFM170</v>
      </c>
      <c r="B170" s="7">
        <v>46269</v>
      </c>
      <c r="C170" t="s">
        <v>259</v>
      </c>
      <c r="D170" t="s">
        <v>302</v>
      </c>
      <c r="E170" t="s">
        <v>303</v>
      </c>
      <c r="F170">
        <v>1</v>
      </c>
      <c r="G170">
        <v>24</v>
      </c>
      <c r="H170">
        <f t="shared" si="18"/>
        <v>24</v>
      </c>
      <c r="I170">
        <v>1090</v>
      </c>
      <c r="J170">
        <v>1</v>
      </c>
      <c r="K170">
        <f t="shared" si="19"/>
        <v>45.416666666666664</v>
      </c>
      <c r="L170" s="2" t="s">
        <v>61</v>
      </c>
      <c r="M170" s="5">
        <v>0</v>
      </c>
      <c r="N170">
        <f t="shared" si="20"/>
        <v>45.416666666666664</v>
      </c>
      <c r="O170" s="3">
        <v>0.14000000000000001</v>
      </c>
      <c r="P170">
        <f t="shared" si="21"/>
        <v>51.774999999999999</v>
      </c>
      <c r="Q170" s="4">
        <f t="shared" si="22"/>
        <v>52</v>
      </c>
      <c r="R170">
        <v>0</v>
      </c>
      <c r="S170">
        <f t="shared" si="23"/>
        <v>6.5833333333333357</v>
      </c>
      <c r="T170">
        <f>IF(C170="","",InventoryTable[[#This Row],[Profit per Unit]]*InventoryTable[[#This Row],[Total Pieces]])</f>
        <v>158.00000000000006</v>
      </c>
      <c r="U170">
        <f t="shared" si="26"/>
        <v>0</v>
      </c>
      <c r="V170">
        <f>IF(C170="","",H170-InventoryTable[[#This Row],[Units Sold]])</f>
        <v>24</v>
      </c>
      <c r="W170">
        <f t="shared" si="24"/>
        <v>0</v>
      </c>
      <c r="X170">
        <f t="shared" si="25"/>
        <v>0</v>
      </c>
      <c r="Y170" t="str">
        <f>IF(C170="","",IF(InventoryTable[[#This Row],[Stock Balance]]&lt;=0,"Sold Out",IF((InventoryTable[[#This Row],[Stock Balance]]/InventoryTable[[#This Row],[Total Pieces]])&lt;=0.25,"Low on Stocks","Available")))</f>
        <v>Available</v>
      </c>
    </row>
    <row r="171" spans="1:25" x14ac:dyDescent="0.3">
      <c r="A171" t="str">
        <f>IF(C171="","",_xlfn.CONCAT(LEFT(InventoryTable[[#This Row],[Category]],1),InventoryTable[[#This Row],[Product Pricing Type]],ROW()))</f>
        <v>SFM171</v>
      </c>
      <c r="B171" s="7">
        <v>46270</v>
      </c>
      <c r="C171" t="s">
        <v>327</v>
      </c>
      <c r="D171" t="s">
        <v>328</v>
      </c>
      <c r="E171" t="s">
        <v>329</v>
      </c>
      <c r="F171">
        <v>3</v>
      </c>
      <c r="G171">
        <v>10</v>
      </c>
      <c r="H171">
        <f>IF(C171="","",G171*F171)</f>
        <v>30</v>
      </c>
      <c r="I171">
        <v>20</v>
      </c>
      <c r="J171">
        <v>1</v>
      </c>
      <c r="K171">
        <f>IF(C171="","",IF(J171=1,I171/H171,I171*G171*F171))</f>
        <v>0.66666666666666663</v>
      </c>
      <c r="L171" s="2" t="s">
        <v>61</v>
      </c>
      <c r="M171" s="5">
        <v>0</v>
      </c>
      <c r="N171">
        <f>IF(C171="","",IF(J171=1,K171+(K171*M171),I171+(I171*M171)))</f>
        <v>0.66666666666666663</v>
      </c>
      <c r="O171" s="3">
        <v>0</v>
      </c>
      <c r="P171">
        <f>IF(C171="","",N171+(N171*O171))</f>
        <v>0.66666666666666663</v>
      </c>
      <c r="Q171" s="4">
        <f>IF(C171="","",ROUNDUP(P171,0))</f>
        <v>1</v>
      </c>
      <c r="R171">
        <v>0</v>
      </c>
      <c r="S171">
        <f>IF(C171="","",IF(COUNTIF(C171,"*Fixed*")&gt;0,(K171-R171)/H171,IF(J171=1,Q171-K171,Q171-I171)))</f>
        <v>0.33333333333333337</v>
      </c>
      <c r="T171">
        <f>IF(C171="","",InventoryTable[[#This Row],[Profit per Unit]]*InventoryTable[[#This Row],[Total Pieces]])</f>
        <v>10.000000000000002</v>
      </c>
      <c r="U171">
        <f t="shared" si="26"/>
        <v>0</v>
      </c>
      <c r="V171">
        <f>IF(C171="","",H171-InventoryTable[[#This Row],[Units Sold]])</f>
        <v>30</v>
      </c>
      <c r="W171">
        <f t="shared" si="24"/>
        <v>0</v>
      </c>
      <c r="X171">
        <f t="shared" si="25"/>
        <v>0</v>
      </c>
      <c r="Y171" t="str">
        <f>IF(C171="","",IF(InventoryTable[[#This Row],[Stock Balance]]&lt;=0,"Sold Out",IF((InventoryTable[[#This Row],[Stock Balance]]/InventoryTable[[#This Row],[Total Pieces]])&lt;=0.25,"Low on Stocks","Available")))</f>
        <v>Available</v>
      </c>
    </row>
    <row r="172" spans="1:25" x14ac:dyDescent="0.3">
      <c r="A172" t="str">
        <f>IF(C172="","",_xlfn.CONCAT(LEFT(InventoryTable[[#This Row],[Category]],1),InventoryTable[[#This Row],[Product Pricing Type]],ROW()))</f>
        <v>SFM172</v>
      </c>
      <c r="B172" s="7">
        <v>46270</v>
      </c>
      <c r="C172" t="s">
        <v>327</v>
      </c>
      <c r="D172" t="s">
        <v>328</v>
      </c>
      <c r="E172" t="s">
        <v>330</v>
      </c>
      <c r="F172">
        <v>3</v>
      </c>
      <c r="G172">
        <v>10</v>
      </c>
      <c r="H172">
        <f t="shared" ref="H172:H224" si="27">IF(C172="","",G172*F172)</f>
        <v>30</v>
      </c>
      <c r="I172">
        <v>20</v>
      </c>
      <c r="J172">
        <v>1</v>
      </c>
      <c r="K172">
        <f t="shared" ref="K172:K224" si="28">IF(C172="","",IF(J172=1,I172/H172,I172*G172*F172))</f>
        <v>0.66666666666666663</v>
      </c>
      <c r="L172" s="2" t="s">
        <v>61</v>
      </c>
      <c r="M172" s="5">
        <v>0</v>
      </c>
      <c r="N172">
        <f t="shared" ref="N172:N224" si="29">IF(C172="","",IF(J172=1,K172+(K172*M172),I172+(I172*M172)))</f>
        <v>0.66666666666666663</v>
      </c>
      <c r="O172" s="3">
        <v>0</v>
      </c>
      <c r="P172">
        <f t="shared" ref="P172:P224" si="30">IF(C172="","",N172+(N172*O172))</f>
        <v>0.66666666666666663</v>
      </c>
      <c r="Q172" s="4">
        <f t="shared" ref="Q172:Q224" si="31">IF(C172="","",ROUNDUP(P172,0))</f>
        <v>1</v>
      </c>
      <c r="R172">
        <v>0</v>
      </c>
      <c r="S172">
        <f t="shared" ref="S172:S224" si="32">IF(C172="","",IF(COUNTIF(C172,"*Fixed*")&gt;0,(K172-R172)/H172,IF(J172=1,Q172-K172,Q172-I172)))</f>
        <v>0.33333333333333337</v>
      </c>
      <c r="T172">
        <f>IF(C172="","",InventoryTable[[#This Row],[Profit per Unit]]*InventoryTable[[#This Row],[Total Pieces]])</f>
        <v>10.000000000000002</v>
      </c>
      <c r="U172">
        <v>5</v>
      </c>
      <c r="V172">
        <f>IF(C172="","",H172-InventoryTable[[#This Row],[Units Sold]])</f>
        <v>25</v>
      </c>
      <c r="W172">
        <f t="shared" si="24"/>
        <v>5</v>
      </c>
      <c r="X172">
        <f t="shared" si="25"/>
        <v>1.666666666666667</v>
      </c>
      <c r="Y172" t="str">
        <f>IF(C172="","",IF(InventoryTable[[#This Row],[Stock Balance]]&lt;=0,"Sold Out",IF((InventoryTable[[#This Row],[Stock Balance]]/InventoryTable[[#This Row],[Total Pieces]])&lt;=0.25,"Low on Stocks","Available")))</f>
        <v>Available</v>
      </c>
    </row>
    <row r="173" spans="1:25" x14ac:dyDescent="0.3">
      <c r="A173" t="str">
        <f>IF(C173="","",_xlfn.CONCAT(LEFT(InventoryTable[[#This Row],[Category]],1),InventoryTable[[#This Row],[Product Pricing Type]],ROW()))</f>
        <v>SFM173</v>
      </c>
      <c r="B173" s="7">
        <v>46270</v>
      </c>
      <c r="C173" t="s">
        <v>327</v>
      </c>
      <c r="D173" t="s">
        <v>328</v>
      </c>
      <c r="E173" t="s">
        <v>331</v>
      </c>
      <c r="F173">
        <v>3</v>
      </c>
      <c r="G173">
        <v>10</v>
      </c>
      <c r="H173">
        <f t="shared" si="27"/>
        <v>30</v>
      </c>
      <c r="I173">
        <v>20</v>
      </c>
      <c r="J173">
        <v>1</v>
      </c>
      <c r="K173">
        <f t="shared" si="28"/>
        <v>0.66666666666666663</v>
      </c>
      <c r="L173" s="2" t="s">
        <v>61</v>
      </c>
      <c r="M173" s="5">
        <v>0</v>
      </c>
      <c r="N173">
        <f t="shared" si="29"/>
        <v>0.66666666666666663</v>
      </c>
      <c r="O173" s="3">
        <v>0</v>
      </c>
      <c r="P173">
        <f t="shared" si="30"/>
        <v>0.66666666666666663</v>
      </c>
      <c r="Q173" s="4">
        <f t="shared" si="31"/>
        <v>1</v>
      </c>
      <c r="R173">
        <v>0</v>
      </c>
      <c r="S173">
        <f t="shared" si="32"/>
        <v>0.33333333333333337</v>
      </c>
      <c r="T173">
        <f>IF(C173="","",InventoryTable[[#This Row],[Profit per Unit]]*InventoryTable[[#This Row],[Total Pieces]])</f>
        <v>10.000000000000002</v>
      </c>
      <c r="U173">
        <f t="shared" si="26"/>
        <v>0</v>
      </c>
      <c r="V173">
        <f>IF(C173="","",H173-InventoryTable[[#This Row],[Units Sold]])</f>
        <v>30</v>
      </c>
      <c r="W173">
        <f t="shared" si="24"/>
        <v>0</v>
      </c>
      <c r="X173">
        <f t="shared" si="25"/>
        <v>0</v>
      </c>
      <c r="Y173" t="str">
        <f>IF(C173="","",IF(InventoryTable[[#This Row],[Stock Balance]]&lt;=0,"Sold Out",IF((InventoryTable[[#This Row],[Stock Balance]]/InventoryTable[[#This Row],[Total Pieces]])&lt;=0.25,"Low on Stocks","Available")))</f>
        <v>Available</v>
      </c>
    </row>
    <row r="174" spans="1:25" x14ac:dyDescent="0.3">
      <c r="A174" t="str">
        <f>IF(C174="","",_xlfn.CONCAT(LEFT(InventoryTable[[#This Row],[Category]],1),InventoryTable[[#This Row],[Product Pricing Type]],ROW()))</f>
        <v>MFM174</v>
      </c>
      <c r="B174" s="7">
        <v>46270</v>
      </c>
      <c r="C174" t="s">
        <v>332</v>
      </c>
      <c r="D174" t="s">
        <v>333</v>
      </c>
      <c r="E174" t="s">
        <v>334</v>
      </c>
      <c r="F174">
        <v>1</v>
      </c>
      <c r="G174">
        <v>10</v>
      </c>
      <c r="H174">
        <f t="shared" si="27"/>
        <v>10</v>
      </c>
      <c r="I174">
        <v>49.5</v>
      </c>
      <c r="J174">
        <v>1</v>
      </c>
      <c r="K174">
        <f t="shared" si="28"/>
        <v>4.95</v>
      </c>
      <c r="L174" s="2" t="s">
        <v>61</v>
      </c>
      <c r="M174" s="5">
        <v>0</v>
      </c>
      <c r="N174">
        <f t="shared" si="29"/>
        <v>4.95</v>
      </c>
      <c r="O174" s="3">
        <v>0.9</v>
      </c>
      <c r="P174">
        <f t="shared" si="30"/>
        <v>9.4050000000000011</v>
      </c>
      <c r="Q174" s="4">
        <f t="shared" si="31"/>
        <v>10</v>
      </c>
      <c r="R174">
        <v>0</v>
      </c>
      <c r="S174">
        <f t="shared" si="32"/>
        <v>5.05</v>
      </c>
      <c r="T174">
        <f>IF(C174="","",InventoryTable[[#This Row],[Profit per Unit]]*InventoryTable[[#This Row],[Total Pieces]])</f>
        <v>50.5</v>
      </c>
      <c r="U174">
        <v>4</v>
      </c>
      <c r="V174">
        <f>IF(C174="","",H174-InventoryTable[[#This Row],[Units Sold]])</f>
        <v>6</v>
      </c>
      <c r="W174">
        <f t="shared" si="24"/>
        <v>40</v>
      </c>
      <c r="X174">
        <f t="shared" si="25"/>
        <v>20.2</v>
      </c>
      <c r="Y174" t="str">
        <f>IF(C174="","",IF(InventoryTable[[#This Row],[Stock Balance]]&lt;=0,"Sold Out",IF((InventoryTable[[#This Row],[Stock Balance]]/InventoryTable[[#This Row],[Total Pieces]])&lt;=0.25,"Low on Stocks","Available")))</f>
        <v>Available</v>
      </c>
    </row>
    <row r="175" spans="1:25" x14ac:dyDescent="0.3">
      <c r="A175" t="str">
        <f>IF(C175="","",_xlfn.CONCAT(LEFT(InventoryTable[[#This Row],[Category]],1),InventoryTable[[#This Row],[Product Pricing Type]],ROW()))</f>
        <v>MFM175</v>
      </c>
      <c r="B175" s="7">
        <v>46270</v>
      </c>
      <c r="C175" t="s">
        <v>332</v>
      </c>
      <c r="D175" t="s">
        <v>335</v>
      </c>
      <c r="E175" t="s">
        <v>336</v>
      </c>
      <c r="F175">
        <v>1</v>
      </c>
      <c r="G175">
        <v>10</v>
      </c>
      <c r="H175">
        <f t="shared" si="27"/>
        <v>10</v>
      </c>
      <c r="I175">
        <v>110</v>
      </c>
      <c r="J175">
        <v>1</v>
      </c>
      <c r="K175">
        <f t="shared" si="28"/>
        <v>11</v>
      </c>
      <c r="L175" s="2" t="s">
        <v>61</v>
      </c>
      <c r="M175" s="5">
        <v>0</v>
      </c>
      <c r="N175">
        <f t="shared" si="29"/>
        <v>11</v>
      </c>
      <c r="O175" s="3">
        <v>0.1</v>
      </c>
      <c r="P175">
        <f t="shared" si="30"/>
        <v>12.1</v>
      </c>
      <c r="Q175" s="4">
        <f t="shared" si="31"/>
        <v>13</v>
      </c>
      <c r="R175">
        <v>0</v>
      </c>
      <c r="S175">
        <f t="shared" si="32"/>
        <v>2</v>
      </c>
      <c r="T175">
        <f>IF(C175="","",InventoryTable[[#This Row],[Profit per Unit]]*InventoryTable[[#This Row],[Total Pieces]])</f>
        <v>20</v>
      </c>
      <c r="U175">
        <f t="shared" si="26"/>
        <v>0</v>
      </c>
      <c r="V175">
        <f>IF(C175="","",H175-InventoryTable[[#This Row],[Units Sold]])</f>
        <v>10</v>
      </c>
      <c r="W175">
        <f t="shared" si="24"/>
        <v>0</v>
      </c>
      <c r="X175">
        <f t="shared" si="25"/>
        <v>0</v>
      </c>
      <c r="Y175" t="str">
        <f>IF(C175="","",IF(InventoryTable[[#This Row],[Stock Balance]]&lt;=0,"Sold Out",IF((InventoryTable[[#This Row],[Stock Balance]]/InventoryTable[[#This Row],[Total Pieces]])&lt;=0.25,"Low on Stocks","Available")))</f>
        <v>Available</v>
      </c>
    </row>
    <row r="176" spans="1:25" x14ac:dyDescent="0.3">
      <c r="A176" t="str">
        <f>IF(C176="","",_xlfn.CONCAT(LEFT(InventoryTable[[#This Row],[Category]],1),InventoryTable[[#This Row],[Product Pricing Type]],ROW()))</f>
        <v>MFM176</v>
      </c>
      <c r="B176" s="7">
        <v>46270</v>
      </c>
      <c r="C176" t="s">
        <v>332</v>
      </c>
      <c r="D176" t="s">
        <v>337</v>
      </c>
      <c r="E176" t="s">
        <v>338</v>
      </c>
      <c r="F176">
        <v>1</v>
      </c>
      <c r="G176">
        <v>10</v>
      </c>
      <c r="H176">
        <f t="shared" si="27"/>
        <v>10</v>
      </c>
      <c r="I176">
        <v>55</v>
      </c>
      <c r="J176">
        <v>1</v>
      </c>
      <c r="K176">
        <f t="shared" si="28"/>
        <v>5.5</v>
      </c>
      <c r="L176" s="2" t="s">
        <v>61</v>
      </c>
      <c r="M176" s="5">
        <v>0</v>
      </c>
      <c r="N176">
        <f t="shared" si="29"/>
        <v>5.5</v>
      </c>
      <c r="O176" s="3">
        <v>0.1</v>
      </c>
      <c r="P176">
        <f t="shared" si="30"/>
        <v>6.05</v>
      </c>
      <c r="Q176" s="4">
        <f t="shared" si="31"/>
        <v>7</v>
      </c>
      <c r="R176">
        <v>0</v>
      </c>
      <c r="S176">
        <f t="shared" si="32"/>
        <v>1.5</v>
      </c>
      <c r="T176">
        <f>IF(C176="","",InventoryTable[[#This Row],[Profit per Unit]]*InventoryTable[[#This Row],[Total Pieces]])</f>
        <v>15</v>
      </c>
      <c r="U176">
        <f t="shared" si="26"/>
        <v>0</v>
      </c>
      <c r="V176">
        <f>IF(C176="","",H176-InventoryTable[[#This Row],[Units Sold]])</f>
        <v>10</v>
      </c>
      <c r="W176">
        <f t="shared" si="24"/>
        <v>0</v>
      </c>
      <c r="X176">
        <f t="shared" si="25"/>
        <v>0</v>
      </c>
      <c r="Y176" t="str">
        <f>IF(C176="","",IF(InventoryTable[[#This Row],[Stock Balance]]&lt;=0,"Sold Out",IF((InventoryTable[[#This Row],[Stock Balance]]/InventoryTable[[#This Row],[Total Pieces]])&lt;=0.25,"Low on Stocks","Available")))</f>
        <v>Available</v>
      </c>
    </row>
    <row r="177" spans="1:25" x14ac:dyDescent="0.3">
      <c r="A177" t="str">
        <f>IF(C177="","",_xlfn.CONCAT(LEFT(InventoryTable[[#This Row],[Category]],1),InventoryTable[[#This Row],[Product Pricing Type]],ROW()))</f>
        <v>MFM177</v>
      </c>
      <c r="B177" s="7">
        <v>46270</v>
      </c>
      <c r="C177" t="s">
        <v>332</v>
      </c>
      <c r="D177" t="s">
        <v>339</v>
      </c>
      <c r="E177" t="s">
        <v>340</v>
      </c>
      <c r="F177">
        <v>1</v>
      </c>
      <c r="G177">
        <v>8</v>
      </c>
      <c r="H177">
        <f t="shared" si="27"/>
        <v>8</v>
      </c>
      <c r="I177">
        <v>156.25</v>
      </c>
      <c r="J177">
        <v>1</v>
      </c>
      <c r="K177">
        <f t="shared" si="28"/>
        <v>19.53125</v>
      </c>
      <c r="L177" s="2" t="s">
        <v>61</v>
      </c>
      <c r="M177" s="5">
        <v>0</v>
      </c>
      <c r="N177">
        <f t="shared" si="29"/>
        <v>19.53125</v>
      </c>
      <c r="O177" s="3">
        <v>0.1</v>
      </c>
      <c r="P177">
        <f t="shared" si="30"/>
        <v>21.484375</v>
      </c>
      <c r="Q177" s="4">
        <f t="shared" si="31"/>
        <v>22</v>
      </c>
      <c r="R177">
        <v>0</v>
      </c>
      <c r="S177">
        <f t="shared" si="32"/>
        <v>2.46875</v>
      </c>
      <c r="T177">
        <f>IF(C177="","",InventoryTable[[#This Row],[Profit per Unit]]*InventoryTable[[#This Row],[Total Pieces]])</f>
        <v>19.75</v>
      </c>
      <c r="U177">
        <f t="shared" si="26"/>
        <v>0</v>
      </c>
      <c r="V177">
        <f>IF(C177="","",H177-InventoryTable[[#This Row],[Units Sold]])</f>
        <v>8</v>
      </c>
      <c r="W177">
        <f t="shared" si="24"/>
        <v>0</v>
      </c>
      <c r="X177">
        <f t="shared" si="25"/>
        <v>0</v>
      </c>
      <c r="Y177" t="str">
        <f>IF(C177="","",IF(InventoryTable[[#This Row],[Stock Balance]]&lt;=0,"Sold Out",IF((InventoryTable[[#This Row],[Stock Balance]]/InventoryTable[[#This Row],[Total Pieces]])&lt;=0.25,"Low on Stocks","Available")))</f>
        <v>Available</v>
      </c>
    </row>
    <row r="178" spans="1:25" x14ac:dyDescent="0.3">
      <c r="A178" t="str">
        <f>IF(C178="","",_xlfn.CONCAT(LEFT(InventoryTable[[#This Row],[Category]],1),InventoryTable[[#This Row],[Product Pricing Type]],ROW()))</f>
        <v>MFM178</v>
      </c>
      <c r="B178" s="7">
        <v>46270</v>
      </c>
      <c r="C178" t="s">
        <v>332</v>
      </c>
      <c r="D178" t="s">
        <v>341</v>
      </c>
      <c r="E178" t="s">
        <v>334</v>
      </c>
      <c r="F178">
        <v>1</v>
      </c>
      <c r="G178">
        <v>10</v>
      </c>
      <c r="H178">
        <f t="shared" si="27"/>
        <v>10</v>
      </c>
      <c r="I178">
        <v>92.5</v>
      </c>
      <c r="J178">
        <v>1</v>
      </c>
      <c r="K178">
        <f t="shared" si="28"/>
        <v>9.25</v>
      </c>
      <c r="L178" s="2" t="s">
        <v>61</v>
      </c>
      <c r="M178" s="5">
        <v>0</v>
      </c>
      <c r="N178">
        <f t="shared" si="29"/>
        <v>9.25</v>
      </c>
      <c r="O178" s="3">
        <v>0.1</v>
      </c>
      <c r="P178">
        <f t="shared" si="30"/>
        <v>10.175000000000001</v>
      </c>
      <c r="Q178" s="4">
        <f t="shared" si="31"/>
        <v>11</v>
      </c>
      <c r="R178">
        <v>0</v>
      </c>
      <c r="S178">
        <f t="shared" si="32"/>
        <v>1.75</v>
      </c>
      <c r="T178">
        <f>IF(C178="","",InventoryTable[[#This Row],[Profit per Unit]]*InventoryTable[[#This Row],[Total Pieces]])</f>
        <v>17.5</v>
      </c>
      <c r="U178">
        <f t="shared" si="26"/>
        <v>0</v>
      </c>
      <c r="V178">
        <f>IF(C178="","",H178-InventoryTable[[#This Row],[Units Sold]])</f>
        <v>10</v>
      </c>
      <c r="W178">
        <f t="shared" si="24"/>
        <v>0</v>
      </c>
      <c r="X178">
        <f t="shared" si="25"/>
        <v>0</v>
      </c>
      <c r="Y178" t="str">
        <f>IF(C178="","",IF(InventoryTable[[#This Row],[Stock Balance]]&lt;=0,"Sold Out",IF((InventoryTable[[#This Row],[Stock Balance]]/InventoryTable[[#This Row],[Total Pieces]])&lt;=0.25,"Low on Stocks","Available")))</f>
        <v>Available</v>
      </c>
    </row>
    <row r="179" spans="1:25" x14ac:dyDescent="0.3">
      <c r="A179" t="str">
        <f>IF(C179="","",_xlfn.CONCAT(LEFT(InventoryTable[[#This Row],[Category]],1),InventoryTable[[#This Row],[Product Pricing Type]],ROW()))</f>
        <v>MFM179</v>
      </c>
      <c r="B179" s="7">
        <v>46270</v>
      </c>
      <c r="C179" t="s">
        <v>332</v>
      </c>
      <c r="D179" t="s">
        <v>342</v>
      </c>
      <c r="E179" t="s">
        <v>343</v>
      </c>
      <c r="F179">
        <v>1</v>
      </c>
      <c r="G179">
        <v>10</v>
      </c>
      <c r="H179">
        <f t="shared" si="27"/>
        <v>10</v>
      </c>
      <c r="I179">
        <v>100</v>
      </c>
      <c r="J179">
        <v>1</v>
      </c>
      <c r="K179">
        <f t="shared" si="28"/>
        <v>10</v>
      </c>
      <c r="L179" s="2" t="s">
        <v>61</v>
      </c>
      <c r="M179" s="5">
        <v>0</v>
      </c>
      <c r="N179">
        <f t="shared" si="29"/>
        <v>10</v>
      </c>
      <c r="O179" s="3">
        <v>0.1</v>
      </c>
      <c r="P179">
        <f t="shared" si="30"/>
        <v>11</v>
      </c>
      <c r="Q179" s="4">
        <f t="shared" si="31"/>
        <v>11</v>
      </c>
      <c r="R179">
        <v>0</v>
      </c>
      <c r="S179">
        <f t="shared" si="32"/>
        <v>1</v>
      </c>
      <c r="T179">
        <f>IF(C179="","",InventoryTable[[#This Row],[Profit per Unit]]*InventoryTable[[#This Row],[Total Pieces]])</f>
        <v>10</v>
      </c>
      <c r="U179">
        <f t="shared" si="26"/>
        <v>0</v>
      </c>
      <c r="V179">
        <f>IF(C179="","",H179-InventoryTable[[#This Row],[Units Sold]])</f>
        <v>10</v>
      </c>
      <c r="W179">
        <f t="shared" si="24"/>
        <v>0</v>
      </c>
      <c r="X179">
        <f t="shared" si="25"/>
        <v>0</v>
      </c>
      <c r="Y179" t="str">
        <f>IF(C179="","",IF(InventoryTable[[#This Row],[Stock Balance]]&lt;=0,"Sold Out",IF((InventoryTable[[#This Row],[Stock Balance]]/InventoryTable[[#This Row],[Total Pieces]])&lt;=0.25,"Low on Stocks","Available")))</f>
        <v>Available</v>
      </c>
    </row>
    <row r="180" spans="1:25" x14ac:dyDescent="0.3">
      <c r="A180" t="str">
        <f>IF(C180="","",_xlfn.CONCAT(LEFT(InventoryTable[[#This Row],[Category]],1),InventoryTable[[#This Row],[Product Pricing Type]],ROW()))</f>
        <v>SFM180</v>
      </c>
      <c r="B180" s="7">
        <v>46270</v>
      </c>
      <c r="C180" t="s">
        <v>280</v>
      </c>
      <c r="D180" t="s">
        <v>280</v>
      </c>
      <c r="E180" t="s">
        <v>295</v>
      </c>
      <c r="F180">
        <v>1</v>
      </c>
      <c r="G180">
        <v>3</v>
      </c>
      <c r="H180">
        <f t="shared" si="27"/>
        <v>3</v>
      </c>
      <c r="I180">
        <v>58.5</v>
      </c>
      <c r="J180">
        <v>1</v>
      </c>
      <c r="K180">
        <f t="shared" si="28"/>
        <v>19.5</v>
      </c>
      <c r="L180" s="2" t="s">
        <v>61</v>
      </c>
      <c r="M180" s="5">
        <v>0</v>
      </c>
      <c r="N180">
        <f t="shared" si="29"/>
        <v>19.5</v>
      </c>
      <c r="O180" s="3">
        <v>0.1</v>
      </c>
      <c r="P180">
        <f t="shared" si="30"/>
        <v>21.45</v>
      </c>
      <c r="Q180" s="4">
        <f t="shared" si="31"/>
        <v>22</v>
      </c>
      <c r="R180">
        <v>0</v>
      </c>
      <c r="S180">
        <f t="shared" si="32"/>
        <v>2.5</v>
      </c>
      <c r="T180">
        <f>IF(C180="","",InventoryTable[[#This Row],[Profit per Unit]]*InventoryTable[[#This Row],[Total Pieces]])</f>
        <v>7.5</v>
      </c>
      <c r="U180">
        <f t="shared" si="26"/>
        <v>0</v>
      </c>
      <c r="V180">
        <f>IF(C180="","",H180-InventoryTable[[#This Row],[Units Sold]])</f>
        <v>3</v>
      </c>
      <c r="W180">
        <f t="shared" si="24"/>
        <v>0</v>
      </c>
      <c r="X180">
        <f t="shared" si="25"/>
        <v>0</v>
      </c>
      <c r="Y180" t="str">
        <f>IF(C180="","",IF(InventoryTable[[#This Row],[Stock Balance]]&lt;=0,"Sold Out",IF((InventoryTable[[#This Row],[Stock Balance]]/InventoryTable[[#This Row],[Total Pieces]])&lt;=0.25,"Low on Stocks","Available")))</f>
        <v>Available</v>
      </c>
    </row>
    <row r="181" spans="1:25" x14ac:dyDescent="0.3">
      <c r="A181" t="str">
        <f>IF(C181="","",_xlfn.CONCAT(LEFT(InventoryTable[[#This Row],[Category]],1),InventoryTable[[#This Row],[Product Pricing Type]],ROW()))</f>
        <v>SNF181</v>
      </c>
      <c r="B181" s="7">
        <v>46270</v>
      </c>
      <c r="C181" t="s">
        <v>281</v>
      </c>
      <c r="D181" t="s">
        <v>282</v>
      </c>
      <c r="E181" t="s">
        <v>345</v>
      </c>
      <c r="F181">
        <v>1</v>
      </c>
      <c r="G181">
        <v>3</v>
      </c>
      <c r="H181">
        <f t="shared" si="27"/>
        <v>3</v>
      </c>
      <c r="I181">
        <v>19.5</v>
      </c>
      <c r="J181">
        <v>1</v>
      </c>
      <c r="K181">
        <f t="shared" si="28"/>
        <v>6.5</v>
      </c>
      <c r="L181" s="2" t="s">
        <v>62</v>
      </c>
      <c r="M181" s="5">
        <v>0</v>
      </c>
      <c r="N181">
        <f t="shared" si="29"/>
        <v>6.5</v>
      </c>
      <c r="O181" s="3">
        <v>0.3</v>
      </c>
      <c r="P181">
        <f t="shared" si="30"/>
        <v>8.4499999999999993</v>
      </c>
      <c r="Q181" s="4">
        <f t="shared" si="31"/>
        <v>9</v>
      </c>
      <c r="R181">
        <v>0</v>
      </c>
      <c r="S181">
        <f t="shared" si="32"/>
        <v>2.5</v>
      </c>
      <c r="T181">
        <f>IF(C181="","",InventoryTable[[#This Row],[Profit per Unit]]*InventoryTable[[#This Row],[Total Pieces]])</f>
        <v>7.5</v>
      </c>
      <c r="U181">
        <f t="shared" si="26"/>
        <v>0</v>
      </c>
      <c r="V181">
        <f>IF(C181="","",H181-InventoryTable[[#This Row],[Units Sold]])</f>
        <v>3</v>
      </c>
      <c r="W181">
        <f t="shared" si="24"/>
        <v>0</v>
      </c>
      <c r="X181">
        <f t="shared" si="25"/>
        <v>0</v>
      </c>
      <c r="Y181" t="str">
        <f>IF(C181="","",IF(InventoryTable[[#This Row],[Stock Balance]]&lt;=0,"Sold Out",IF((InventoryTable[[#This Row],[Stock Balance]]/InventoryTable[[#This Row],[Total Pieces]])&lt;=0.25,"Low on Stocks","Available")))</f>
        <v>Available</v>
      </c>
    </row>
    <row r="182" spans="1:25" x14ac:dyDescent="0.3">
      <c r="A182" t="str">
        <f>IF(C182="","",_xlfn.CONCAT(LEFT(InventoryTable[[#This Row],[Category]],1),InventoryTable[[#This Row],[Product Pricing Type]],ROW()))</f>
        <v>BNF182</v>
      </c>
      <c r="B182" s="7">
        <v>46270</v>
      </c>
      <c r="C182" t="s">
        <v>212</v>
      </c>
      <c r="D182" t="s">
        <v>346</v>
      </c>
      <c r="E182" t="s">
        <v>347</v>
      </c>
      <c r="F182">
        <v>1</v>
      </c>
      <c r="G182">
        <v>8</v>
      </c>
      <c r="H182">
        <f t="shared" si="27"/>
        <v>8</v>
      </c>
      <c r="I182">
        <v>90</v>
      </c>
      <c r="J182">
        <v>1</v>
      </c>
      <c r="K182">
        <f t="shared" si="28"/>
        <v>11.25</v>
      </c>
      <c r="L182" s="2" t="s">
        <v>62</v>
      </c>
      <c r="M182" s="5">
        <v>0.05</v>
      </c>
      <c r="N182">
        <f t="shared" si="29"/>
        <v>11.8125</v>
      </c>
      <c r="O182" s="3">
        <v>0.15</v>
      </c>
      <c r="P182">
        <f t="shared" si="30"/>
        <v>13.584375</v>
      </c>
      <c r="Q182" s="4">
        <f t="shared" si="31"/>
        <v>14</v>
      </c>
      <c r="R182">
        <v>0</v>
      </c>
      <c r="S182">
        <f t="shared" si="32"/>
        <v>2.75</v>
      </c>
      <c r="T182">
        <f>IF(C182="","",InventoryTable[[#This Row],[Profit per Unit]]*InventoryTable[[#This Row],[Total Pieces]])</f>
        <v>22</v>
      </c>
      <c r="U182">
        <f t="shared" si="26"/>
        <v>0</v>
      </c>
      <c r="V182">
        <f>IF(C182="","",H182-InventoryTable[[#This Row],[Units Sold]])</f>
        <v>8</v>
      </c>
      <c r="W182">
        <f t="shared" si="24"/>
        <v>0</v>
      </c>
      <c r="X182">
        <f t="shared" si="25"/>
        <v>0</v>
      </c>
      <c r="Y182" t="str">
        <f>IF(C182="","",IF(InventoryTable[[#This Row],[Stock Balance]]&lt;=0,"Sold Out",IF((InventoryTable[[#This Row],[Stock Balance]]/InventoryTable[[#This Row],[Total Pieces]])&lt;=0.25,"Low on Stocks","Available")))</f>
        <v>Available</v>
      </c>
    </row>
    <row r="183" spans="1:25" x14ac:dyDescent="0.3">
      <c r="A183" t="str">
        <f>IF(C183="","",_xlfn.CONCAT(LEFT(InventoryTable[[#This Row],[Category]],1),InventoryTable[[#This Row],[Product Pricing Type]],ROW()))</f>
        <v>FNF183</v>
      </c>
      <c r="B183" s="7">
        <v>46270</v>
      </c>
      <c r="C183" t="s">
        <v>74</v>
      </c>
      <c r="D183" t="s">
        <v>348</v>
      </c>
      <c r="E183" t="s">
        <v>73</v>
      </c>
      <c r="F183">
        <v>1</v>
      </c>
      <c r="G183">
        <v>7</v>
      </c>
      <c r="H183">
        <f t="shared" si="27"/>
        <v>7</v>
      </c>
      <c r="I183">
        <v>85.75</v>
      </c>
      <c r="J183">
        <v>1</v>
      </c>
      <c r="K183">
        <f t="shared" si="28"/>
        <v>12.25</v>
      </c>
      <c r="L183" s="2" t="s">
        <v>62</v>
      </c>
      <c r="M183" s="5">
        <v>0.05</v>
      </c>
      <c r="N183">
        <f t="shared" si="29"/>
        <v>12.862500000000001</v>
      </c>
      <c r="O183" s="3">
        <v>0.05</v>
      </c>
      <c r="P183">
        <f t="shared" si="30"/>
        <v>13.505625</v>
      </c>
      <c r="Q183" s="4">
        <f t="shared" si="31"/>
        <v>14</v>
      </c>
      <c r="R183">
        <v>0</v>
      </c>
      <c r="S183">
        <f t="shared" si="32"/>
        <v>1.75</v>
      </c>
      <c r="T183">
        <f>IF(C183="","",InventoryTable[[#This Row],[Profit per Unit]]*InventoryTable[[#This Row],[Total Pieces]])</f>
        <v>12.25</v>
      </c>
      <c r="U183">
        <f t="shared" si="26"/>
        <v>0</v>
      </c>
      <c r="V183">
        <f>IF(C183="","",H183-InventoryTable[[#This Row],[Units Sold]])</f>
        <v>7</v>
      </c>
      <c r="W183">
        <f t="shared" si="24"/>
        <v>0</v>
      </c>
      <c r="X183">
        <f t="shared" si="25"/>
        <v>0</v>
      </c>
      <c r="Y183" t="str">
        <f>IF(C183="","",IF(InventoryTable[[#This Row],[Stock Balance]]&lt;=0,"Sold Out",IF((InventoryTable[[#This Row],[Stock Balance]]/InventoryTable[[#This Row],[Total Pieces]])&lt;=0.25,"Low on Stocks","Available")))</f>
        <v>Available</v>
      </c>
    </row>
    <row r="184" spans="1:25" x14ac:dyDescent="0.3">
      <c r="A184" t="str">
        <f>IF(C184="","",_xlfn.CONCAT(LEFT(InventoryTable[[#This Row],[Category]],1),InventoryTable[[#This Row],[Product Pricing Type]],ROW()))</f>
        <v>VFM184</v>
      </c>
      <c r="B184" s="7">
        <v>46270</v>
      </c>
      <c r="C184" t="s">
        <v>72</v>
      </c>
      <c r="D184" t="s">
        <v>70</v>
      </c>
      <c r="E184" t="s">
        <v>209</v>
      </c>
      <c r="F184">
        <v>1</v>
      </c>
      <c r="G184">
        <v>6</v>
      </c>
      <c r="H184">
        <f t="shared" si="27"/>
        <v>6</v>
      </c>
      <c r="I184">
        <v>22.8</v>
      </c>
      <c r="J184">
        <v>1</v>
      </c>
      <c r="K184">
        <f t="shared" si="28"/>
        <v>3.8000000000000003</v>
      </c>
      <c r="L184" s="2" t="s">
        <v>61</v>
      </c>
      <c r="M184" s="5">
        <v>0.05</v>
      </c>
      <c r="N184">
        <f t="shared" si="29"/>
        <v>3.99</v>
      </c>
      <c r="O184" s="3">
        <v>0.3</v>
      </c>
      <c r="P184">
        <f t="shared" si="30"/>
        <v>5.1870000000000003</v>
      </c>
      <c r="Q184" s="4">
        <f t="shared" si="31"/>
        <v>6</v>
      </c>
      <c r="R184">
        <v>0</v>
      </c>
      <c r="S184">
        <f t="shared" si="32"/>
        <v>2.1999999999999997</v>
      </c>
      <c r="T184">
        <f>IF(C184="","",InventoryTable[[#This Row],[Profit per Unit]]*InventoryTable[[#This Row],[Total Pieces]])</f>
        <v>13.2</v>
      </c>
      <c r="U184">
        <f t="shared" si="26"/>
        <v>0</v>
      </c>
      <c r="V184">
        <f>IF(C184="","",H184-InventoryTable[[#This Row],[Units Sold]])</f>
        <v>6</v>
      </c>
      <c r="W184">
        <f t="shared" si="24"/>
        <v>0</v>
      </c>
      <c r="X184">
        <f t="shared" si="25"/>
        <v>0</v>
      </c>
      <c r="Y184" t="str">
        <f>IF(C184="","",IF(InventoryTable[[#This Row],[Stock Balance]]&lt;=0,"Sold Out",IF((InventoryTable[[#This Row],[Stock Balance]]/InventoryTable[[#This Row],[Total Pieces]])&lt;=0.25,"Low on Stocks","Available")))</f>
        <v>Available</v>
      </c>
    </row>
    <row r="185" spans="1:25" x14ac:dyDescent="0.3">
      <c r="A185" t="str">
        <f>IF(C185="","",_xlfn.CONCAT(LEFT(InventoryTable[[#This Row],[Category]],1),InventoryTable[[#This Row],[Product Pricing Type]],ROW()))</f>
        <v>VFM185</v>
      </c>
      <c r="B185" s="7">
        <v>46270</v>
      </c>
      <c r="C185" t="s">
        <v>72</v>
      </c>
      <c r="D185" t="s">
        <v>349</v>
      </c>
      <c r="E185" t="s">
        <v>71</v>
      </c>
      <c r="F185">
        <v>1</v>
      </c>
      <c r="G185">
        <v>4</v>
      </c>
      <c r="H185">
        <f t="shared" si="27"/>
        <v>4</v>
      </c>
      <c r="I185">
        <v>30.6</v>
      </c>
      <c r="J185">
        <v>1</v>
      </c>
      <c r="K185">
        <f t="shared" si="28"/>
        <v>7.65</v>
      </c>
      <c r="L185" s="2" t="s">
        <v>61</v>
      </c>
      <c r="M185" s="5">
        <v>0.05</v>
      </c>
      <c r="N185">
        <f t="shared" si="29"/>
        <v>8.0325000000000006</v>
      </c>
      <c r="O185" s="3">
        <v>0.1</v>
      </c>
      <c r="P185">
        <f t="shared" si="30"/>
        <v>8.8357500000000009</v>
      </c>
      <c r="Q185" s="4">
        <f t="shared" si="31"/>
        <v>9</v>
      </c>
      <c r="R185">
        <v>0</v>
      </c>
      <c r="S185">
        <f t="shared" si="32"/>
        <v>1.3499999999999996</v>
      </c>
      <c r="T185">
        <f>IF(C185="","",InventoryTable[[#This Row],[Profit per Unit]]*InventoryTable[[#This Row],[Total Pieces]])</f>
        <v>5.3999999999999986</v>
      </c>
      <c r="U185">
        <f t="shared" si="26"/>
        <v>0</v>
      </c>
      <c r="V185">
        <f>IF(C185="","",H185-InventoryTable[[#This Row],[Units Sold]])</f>
        <v>4</v>
      </c>
      <c r="W185">
        <f t="shared" si="24"/>
        <v>0</v>
      </c>
      <c r="X185">
        <f t="shared" si="25"/>
        <v>0</v>
      </c>
      <c r="Y185" t="str">
        <f>IF(C185="","",IF(InventoryTable[[#This Row],[Stock Balance]]&lt;=0,"Sold Out",IF((InventoryTable[[#This Row],[Stock Balance]]/InventoryTable[[#This Row],[Total Pieces]])&lt;=0.25,"Low on Stocks","Available")))</f>
        <v>Available</v>
      </c>
    </row>
    <row r="186" spans="1:25" x14ac:dyDescent="0.3">
      <c r="A186" t="str">
        <f>IF(C186="","",_xlfn.CONCAT(LEFT(InventoryTable[[#This Row],[Category]],1),InventoryTable[[#This Row],[Product Pricing Type]],ROW()))</f>
        <v>SFM186</v>
      </c>
      <c r="B186" s="7">
        <v>46270</v>
      </c>
      <c r="C186" t="s">
        <v>69</v>
      </c>
      <c r="D186" t="s">
        <v>70</v>
      </c>
      <c r="E186" t="s">
        <v>350</v>
      </c>
      <c r="F186">
        <v>1</v>
      </c>
      <c r="G186">
        <v>6</v>
      </c>
      <c r="H186">
        <f t="shared" si="27"/>
        <v>6</v>
      </c>
      <c r="I186">
        <v>27.3</v>
      </c>
      <c r="J186">
        <v>1</v>
      </c>
      <c r="K186">
        <f t="shared" si="28"/>
        <v>4.55</v>
      </c>
      <c r="L186" s="2" t="s">
        <v>61</v>
      </c>
      <c r="M186" s="5">
        <v>0.05</v>
      </c>
      <c r="N186">
        <f t="shared" si="29"/>
        <v>4.7774999999999999</v>
      </c>
      <c r="O186" s="3">
        <v>0.3</v>
      </c>
      <c r="P186">
        <f t="shared" si="30"/>
        <v>6.21075</v>
      </c>
      <c r="Q186" s="4">
        <f t="shared" si="31"/>
        <v>7</v>
      </c>
      <c r="R186">
        <v>0</v>
      </c>
      <c r="S186">
        <f t="shared" si="32"/>
        <v>2.4500000000000002</v>
      </c>
      <c r="T186">
        <f>IF(C186="","",InventoryTable[[#This Row],[Profit per Unit]]*InventoryTable[[#This Row],[Total Pieces]])</f>
        <v>14.700000000000001</v>
      </c>
      <c r="U186">
        <f t="shared" si="26"/>
        <v>0</v>
      </c>
      <c r="V186">
        <f>IF(C186="","",H186-InventoryTable[[#This Row],[Units Sold]])</f>
        <v>6</v>
      </c>
      <c r="W186">
        <f t="shared" si="24"/>
        <v>0</v>
      </c>
      <c r="X186">
        <f t="shared" si="25"/>
        <v>0</v>
      </c>
      <c r="Y186" t="str">
        <f>IF(C186="","",IF(InventoryTable[[#This Row],[Stock Balance]]&lt;=0,"Sold Out",IF((InventoryTable[[#This Row],[Stock Balance]]/InventoryTable[[#This Row],[Total Pieces]])&lt;=0.25,"Low on Stocks","Available")))</f>
        <v>Available</v>
      </c>
    </row>
    <row r="187" spans="1:25" x14ac:dyDescent="0.3">
      <c r="A187" t="str">
        <f>IF(C187="","",_xlfn.CONCAT(LEFT(InventoryTable[[#This Row],[Category]],1),InventoryTable[[#This Row],[Product Pricing Type]],ROW()))</f>
        <v>KFM187</v>
      </c>
      <c r="B187" s="7">
        <v>46270</v>
      </c>
      <c r="C187" t="s">
        <v>78</v>
      </c>
      <c r="D187" t="s">
        <v>79</v>
      </c>
      <c r="E187" t="s">
        <v>351</v>
      </c>
      <c r="F187">
        <v>1</v>
      </c>
      <c r="G187">
        <v>5</v>
      </c>
      <c r="H187">
        <f t="shared" si="27"/>
        <v>5</v>
      </c>
      <c r="I187">
        <v>55.5</v>
      </c>
      <c r="J187">
        <v>1</v>
      </c>
      <c r="K187">
        <f t="shared" si="28"/>
        <v>11.1</v>
      </c>
      <c r="L187" s="2" t="s">
        <v>61</v>
      </c>
      <c r="M187" s="5">
        <v>0.05</v>
      </c>
      <c r="N187">
        <f t="shared" si="29"/>
        <v>11.654999999999999</v>
      </c>
      <c r="O187" s="3">
        <v>0.1</v>
      </c>
      <c r="P187">
        <f t="shared" si="30"/>
        <v>12.820499999999999</v>
      </c>
      <c r="Q187" s="4">
        <f t="shared" si="31"/>
        <v>13</v>
      </c>
      <c r="R187">
        <v>0</v>
      </c>
      <c r="S187">
        <f t="shared" si="32"/>
        <v>1.9000000000000004</v>
      </c>
      <c r="T187">
        <f>IF(C187="","",InventoryTable[[#This Row],[Profit per Unit]]*InventoryTable[[#This Row],[Total Pieces]])</f>
        <v>9.5000000000000018</v>
      </c>
      <c r="U187">
        <f t="shared" si="26"/>
        <v>0</v>
      </c>
      <c r="V187">
        <f>IF(C187="","",H187-InventoryTable[[#This Row],[Units Sold]])</f>
        <v>5</v>
      </c>
      <c r="W187">
        <f t="shared" si="24"/>
        <v>0</v>
      </c>
      <c r="X187">
        <f t="shared" si="25"/>
        <v>0</v>
      </c>
      <c r="Y187" t="str">
        <f>IF(C187="","",IF(InventoryTable[[#This Row],[Stock Balance]]&lt;=0,"Sold Out",IF((InventoryTable[[#This Row],[Stock Balance]]/InventoryTable[[#This Row],[Total Pieces]])&lt;=0.25,"Low on Stocks","Available")))</f>
        <v>Available</v>
      </c>
    </row>
    <row r="188" spans="1:25" x14ac:dyDescent="0.3">
      <c r="A188" t="str">
        <f>IF(C188="","",_xlfn.CONCAT(LEFT(InventoryTable[[#This Row],[Category]],1),InventoryTable[[#This Row],[Product Pricing Type]],ROW()))</f>
        <v>CFM188</v>
      </c>
      <c r="B188" s="7">
        <v>46270</v>
      </c>
      <c r="C188" t="s">
        <v>85</v>
      </c>
      <c r="D188" t="s">
        <v>86</v>
      </c>
      <c r="E188" t="s">
        <v>352</v>
      </c>
      <c r="F188">
        <v>1</v>
      </c>
      <c r="G188">
        <v>12</v>
      </c>
      <c r="H188">
        <f t="shared" si="27"/>
        <v>12</v>
      </c>
      <c r="I188">
        <v>73.8</v>
      </c>
      <c r="J188">
        <v>1</v>
      </c>
      <c r="K188">
        <f t="shared" si="28"/>
        <v>6.1499999999999995</v>
      </c>
      <c r="L188" s="2" t="s">
        <v>61</v>
      </c>
      <c r="M188" s="5">
        <v>0.05</v>
      </c>
      <c r="N188">
        <f t="shared" si="29"/>
        <v>6.4574999999999996</v>
      </c>
      <c r="O188" s="3">
        <v>0.3</v>
      </c>
      <c r="P188">
        <f t="shared" si="30"/>
        <v>8.3947499999999984</v>
      </c>
      <c r="Q188" s="4">
        <f t="shared" si="31"/>
        <v>9</v>
      </c>
      <c r="R188">
        <v>0</v>
      </c>
      <c r="S188">
        <f t="shared" si="32"/>
        <v>2.8500000000000005</v>
      </c>
      <c r="T188">
        <f>IF(C188="","",InventoryTable[[#This Row],[Profit per Unit]]*InventoryTable[[#This Row],[Total Pieces]])</f>
        <v>34.200000000000003</v>
      </c>
      <c r="U188">
        <f t="shared" si="26"/>
        <v>0</v>
      </c>
      <c r="V188">
        <f>IF(C188="","",H188-InventoryTable[[#This Row],[Units Sold]])</f>
        <v>12</v>
      </c>
      <c r="W188">
        <f t="shared" si="24"/>
        <v>0</v>
      </c>
      <c r="X188">
        <f t="shared" si="25"/>
        <v>0</v>
      </c>
      <c r="Y188" t="str">
        <f>IF(C188="","",IF(InventoryTable[[#This Row],[Stock Balance]]&lt;=0,"Sold Out",IF((InventoryTable[[#This Row],[Stock Balance]]/InventoryTable[[#This Row],[Total Pieces]])&lt;=0.25,"Low on Stocks","Available")))</f>
        <v>Available</v>
      </c>
    </row>
    <row r="189" spans="1:25" x14ac:dyDescent="0.3">
      <c r="A189" t="str">
        <f>IF(C189="","",_xlfn.CONCAT(LEFT(InventoryTable[[#This Row],[Category]],1),InventoryTable[[#This Row],[Product Pricing Type]],ROW()))</f>
        <v>CFM189</v>
      </c>
      <c r="B189" s="7">
        <v>46270</v>
      </c>
      <c r="C189" t="s">
        <v>353</v>
      </c>
      <c r="D189" t="s">
        <v>354</v>
      </c>
      <c r="E189" t="s">
        <v>31</v>
      </c>
      <c r="F189">
        <v>10</v>
      </c>
      <c r="G189">
        <v>20</v>
      </c>
      <c r="H189">
        <f t="shared" si="27"/>
        <v>200</v>
      </c>
      <c r="I189">
        <v>1679</v>
      </c>
      <c r="J189">
        <v>1</v>
      </c>
      <c r="K189">
        <f t="shared" si="28"/>
        <v>8.3949999999999996</v>
      </c>
      <c r="L189" s="2" t="s">
        <v>61</v>
      </c>
      <c r="M189" s="5">
        <v>0.05</v>
      </c>
      <c r="N189">
        <f t="shared" si="29"/>
        <v>8.8147500000000001</v>
      </c>
      <c r="O189" s="3">
        <v>0</v>
      </c>
      <c r="P189">
        <f t="shared" si="30"/>
        <v>8.8147500000000001</v>
      </c>
      <c r="Q189" s="4">
        <f t="shared" si="31"/>
        <v>9</v>
      </c>
      <c r="R189">
        <v>0</v>
      </c>
      <c r="S189">
        <f t="shared" si="32"/>
        <v>0.60500000000000043</v>
      </c>
      <c r="T189">
        <f>IF(C189="","",InventoryTable[[#This Row],[Profit per Unit]]*InventoryTable[[#This Row],[Total Pieces]])</f>
        <v>121.00000000000009</v>
      </c>
      <c r="U189">
        <v>7</v>
      </c>
      <c r="V189">
        <f>IF(C189="","",H189-InventoryTable[[#This Row],[Units Sold]])</f>
        <v>193</v>
      </c>
      <c r="W189">
        <f t="shared" si="24"/>
        <v>63</v>
      </c>
      <c r="X189">
        <f t="shared" si="25"/>
        <v>4.235000000000003</v>
      </c>
      <c r="Y189" t="str">
        <f>IF(C189="","",IF(InventoryTable[[#This Row],[Stock Balance]]&lt;=0,"Sold Out",IF((InventoryTable[[#This Row],[Stock Balance]]/InventoryTable[[#This Row],[Total Pieces]])&lt;=0.25,"Low on Stocks","Available")))</f>
        <v>Available</v>
      </c>
    </row>
    <row r="190" spans="1:25" x14ac:dyDescent="0.3">
      <c r="A190" t="str">
        <f>IF(C190="","",_xlfn.CONCAT(LEFT(InventoryTable[[#This Row],[Category]],1),InventoryTable[[#This Row],[Product Pricing Type]],ROW()))</f>
        <v>VFM190</v>
      </c>
      <c r="B190" s="7">
        <v>46270</v>
      </c>
      <c r="C190" t="s">
        <v>72</v>
      </c>
      <c r="D190" t="s">
        <v>70</v>
      </c>
      <c r="E190" t="s">
        <v>71</v>
      </c>
      <c r="F190">
        <v>1</v>
      </c>
      <c r="G190">
        <v>3</v>
      </c>
      <c r="H190">
        <f t="shared" si="27"/>
        <v>3</v>
      </c>
      <c r="I190">
        <v>25.05</v>
      </c>
      <c r="J190">
        <v>1</v>
      </c>
      <c r="K190">
        <f t="shared" si="28"/>
        <v>8.35</v>
      </c>
      <c r="L190" s="2" t="s">
        <v>61</v>
      </c>
      <c r="M190" s="5">
        <v>0.05</v>
      </c>
      <c r="N190">
        <f t="shared" si="29"/>
        <v>8.7675000000000001</v>
      </c>
      <c r="O190" s="3">
        <v>0.2</v>
      </c>
      <c r="P190">
        <f t="shared" si="30"/>
        <v>10.521000000000001</v>
      </c>
      <c r="Q190" s="4">
        <f t="shared" si="31"/>
        <v>11</v>
      </c>
      <c r="R190">
        <v>0</v>
      </c>
      <c r="S190">
        <f t="shared" si="32"/>
        <v>2.6500000000000004</v>
      </c>
      <c r="T190">
        <f>IF(C190="","",InventoryTable[[#This Row],[Profit per Unit]]*InventoryTable[[#This Row],[Total Pieces]])</f>
        <v>7.9500000000000011</v>
      </c>
      <c r="U190">
        <f t="shared" si="26"/>
        <v>0</v>
      </c>
      <c r="V190">
        <f>IF(C190="","",H190-InventoryTable[[#This Row],[Units Sold]])</f>
        <v>3</v>
      </c>
      <c r="W190">
        <f t="shared" si="24"/>
        <v>0</v>
      </c>
      <c r="X190">
        <f t="shared" si="25"/>
        <v>0</v>
      </c>
      <c r="Y190" t="str">
        <f>IF(C190="","",IF(InventoryTable[[#This Row],[Stock Balance]]&lt;=0,"Sold Out",IF((InventoryTable[[#This Row],[Stock Balance]]/InventoryTable[[#This Row],[Total Pieces]])&lt;=0.25,"Low on Stocks","Available")))</f>
        <v>Available</v>
      </c>
    </row>
    <row r="191" spans="1:25" x14ac:dyDescent="0.3">
      <c r="A191" t="str">
        <f>IF(C191="","",_xlfn.CONCAT(LEFT(InventoryTable[[#This Row],[Category]],1),InventoryTable[[#This Row],[Product Pricing Type]],ROW()))</f>
        <v>SFM191</v>
      </c>
      <c r="B191" s="7">
        <v>46270</v>
      </c>
      <c r="C191" t="s">
        <v>69</v>
      </c>
      <c r="D191" t="s">
        <v>70</v>
      </c>
      <c r="E191" t="s">
        <v>71</v>
      </c>
      <c r="F191">
        <v>1</v>
      </c>
      <c r="G191">
        <v>2</v>
      </c>
      <c r="H191">
        <f t="shared" si="27"/>
        <v>2</v>
      </c>
      <c r="I191">
        <v>21.6</v>
      </c>
      <c r="J191">
        <v>1</v>
      </c>
      <c r="K191">
        <f t="shared" si="28"/>
        <v>10.8</v>
      </c>
      <c r="L191" s="2" t="s">
        <v>61</v>
      </c>
      <c r="M191" s="5">
        <v>0.05</v>
      </c>
      <c r="N191">
        <f t="shared" si="29"/>
        <v>11.34</v>
      </c>
      <c r="O191" s="3">
        <v>0.1</v>
      </c>
      <c r="P191">
        <f t="shared" si="30"/>
        <v>12.474</v>
      </c>
      <c r="Q191" s="4">
        <f t="shared" si="31"/>
        <v>13</v>
      </c>
      <c r="R191">
        <v>0</v>
      </c>
      <c r="S191">
        <f t="shared" si="32"/>
        <v>2.1999999999999993</v>
      </c>
      <c r="T191">
        <f>IF(C191="","",InventoryTable[[#This Row],[Profit per Unit]]*InventoryTable[[#This Row],[Total Pieces]])</f>
        <v>4.3999999999999986</v>
      </c>
      <c r="U191">
        <f t="shared" si="26"/>
        <v>0</v>
      </c>
      <c r="V191">
        <f>IF(C191="","",H191-InventoryTable[[#This Row],[Units Sold]])</f>
        <v>2</v>
      </c>
      <c r="W191">
        <f t="shared" si="24"/>
        <v>0</v>
      </c>
      <c r="X191">
        <f t="shared" si="25"/>
        <v>0</v>
      </c>
      <c r="Y191" t="str">
        <f>IF(C191="","",IF(InventoryTable[[#This Row],[Stock Balance]]&lt;=0,"Sold Out",IF((InventoryTable[[#This Row],[Stock Balance]]/InventoryTable[[#This Row],[Total Pieces]])&lt;=0.25,"Low on Stocks","Available")))</f>
        <v>Available</v>
      </c>
    </row>
    <row r="192" spans="1:25" x14ac:dyDescent="0.3">
      <c r="A192" t="str">
        <f>IF(C192="","",_xlfn.CONCAT(LEFT(InventoryTable[[#This Row],[Category]],1),InventoryTable[[#This Row],[Product Pricing Type]],ROW()))</f>
        <v>HFM192</v>
      </c>
      <c r="B192" s="7">
        <v>46270</v>
      </c>
      <c r="C192" t="s">
        <v>355</v>
      </c>
      <c r="D192" t="s">
        <v>356</v>
      </c>
      <c r="E192" t="s">
        <v>29</v>
      </c>
      <c r="F192">
        <v>1</v>
      </c>
      <c r="G192">
        <v>40</v>
      </c>
      <c r="H192">
        <f t="shared" si="27"/>
        <v>40</v>
      </c>
      <c r="I192">
        <v>165</v>
      </c>
      <c r="J192">
        <v>1</v>
      </c>
      <c r="K192">
        <f t="shared" si="28"/>
        <v>4.125</v>
      </c>
      <c r="L192" s="2" t="s">
        <v>61</v>
      </c>
      <c r="M192" s="5">
        <v>0.05</v>
      </c>
      <c r="N192">
        <f t="shared" si="29"/>
        <v>4.3312499999999998</v>
      </c>
      <c r="O192" s="3">
        <v>0.8</v>
      </c>
      <c r="P192">
        <f t="shared" si="30"/>
        <v>7.7962499999999997</v>
      </c>
      <c r="Q192" s="4">
        <f t="shared" si="31"/>
        <v>8</v>
      </c>
      <c r="R192">
        <v>0</v>
      </c>
      <c r="S192">
        <f t="shared" si="32"/>
        <v>3.875</v>
      </c>
      <c r="T192">
        <f>IF(C192="","",InventoryTable[[#This Row],[Profit per Unit]]*InventoryTable[[#This Row],[Total Pieces]])</f>
        <v>155</v>
      </c>
      <c r="U192">
        <v>6</v>
      </c>
      <c r="V192">
        <f>IF(C192="","",H192-InventoryTable[[#This Row],[Units Sold]])</f>
        <v>34</v>
      </c>
      <c r="W192">
        <f t="shared" si="24"/>
        <v>48</v>
      </c>
      <c r="X192">
        <f t="shared" si="25"/>
        <v>23.25</v>
      </c>
      <c r="Y192" t="str">
        <f>IF(C192="","",IF(InventoryTable[[#This Row],[Stock Balance]]&lt;=0,"Sold Out",IF((InventoryTable[[#This Row],[Stock Balance]]/InventoryTable[[#This Row],[Total Pieces]])&lt;=0.25,"Low on Stocks","Available")))</f>
        <v>Available</v>
      </c>
    </row>
    <row r="193" spans="1:25" x14ac:dyDescent="0.3">
      <c r="A193" t="str">
        <f>IF(C193="","",_xlfn.CONCAT(LEFT(InventoryTable[[#This Row],[Category]],1),InventoryTable[[#This Row],[Product Pricing Type]],ROW()))</f>
        <v>TFM193</v>
      </c>
      <c r="B193" s="7">
        <v>46270</v>
      </c>
      <c r="C193" t="s">
        <v>357</v>
      </c>
      <c r="D193" t="s">
        <v>358</v>
      </c>
      <c r="E193" t="s">
        <v>357</v>
      </c>
      <c r="F193">
        <v>1</v>
      </c>
      <c r="G193">
        <v>2</v>
      </c>
      <c r="H193">
        <f t="shared" si="27"/>
        <v>2</v>
      </c>
      <c r="I193">
        <v>128</v>
      </c>
      <c r="J193">
        <v>1</v>
      </c>
      <c r="K193">
        <f t="shared" si="28"/>
        <v>64</v>
      </c>
      <c r="L193" s="2" t="s">
        <v>61</v>
      </c>
      <c r="M193" s="5">
        <v>0.05</v>
      </c>
      <c r="N193">
        <f t="shared" si="29"/>
        <v>67.2</v>
      </c>
      <c r="O193" s="3">
        <v>0.06</v>
      </c>
      <c r="P193">
        <f t="shared" si="30"/>
        <v>71.231999999999999</v>
      </c>
      <c r="Q193" s="4">
        <f t="shared" si="31"/>
        <v>72</v>
      </c>
      <c r="R193">
        <v>0</v>
      </c>
      <c r="S193">
        <f t="shared" si="32"/>
        <v>8</v>
      </c>
      <c r="T193">
        <f>IF(C193="","",InventoryTable[[#This Row],[Profit per Unit]]*InventoryTable[[#This Row],[Total Pieces]])</f>
        <v>16</v>
      </c>
      <c r="U193">
        <f t="shared" si="26"/>
        <v>0</v>
      </c>
      <c r="V193">
        <f>IF(C193="","",H193-InventoryTable[[#This Row],[Units Sold]])</f>
        <v>2</v>
      </c>
      <c r="W193">
        <f t="shared" si="24"/>
        <v>0</v>
      </c>
      <c r="X193">
        <f t="shared" si="25"/>
        <v>0</v>
      </c>
      <c r="Y193" t="str">
        <f>IF(C193="","",IF(InventoryTable[[#This Row],[Stock Balance]]&lt;=0,"Sold Out",IF((InventoryTable[[#This Row],[Stock Balance]]/InventoryTable[[#This Row],[Total Pieces]])&lt;=0.25,"Low on Stocks","Available")))</f>
        <v>Available</v>
      </c>
    </row>
    <row r="194" spans="1:25" x14ac:dyDescent="0.3">
      <c r="A194" t="str">
        <f>IF(C194="","",_xlfn.CONCAT(LEFT(InventoryTable[[#This Row],[Category]],1),InventoryTable[[#This Row],[Product Pricing Type]],ROW()))</f>
        <v>NFM194</v>
      </c>
      <c r="B194" s="7">
        <v>46270</v>
      </c>
      <c r="C194" t="s">
        <v>359</v>
      </c>
      <c r="D194" t="s">
        <v>359</v>
      </c>
      <c r="E194" t="s">
        <v>80</v>
      </c>
      <c r="F194">
        <v>1</v>
      </c>
      <c r="G194">
        <v>1</v>
      </c>
      <c r="H194">
        <f t="shared" si="27"/>
        <v>1</v>
      </c>
      <c r="I194">
        <v>81</v>
      </c>
      <c r="J194">
        <v>1</v>
      </c>
      <c r="K194">
        <f t="shared" si="28"/>
        <v>81</v>
      </c>
      <c r="L194" s="2" t="s">
        <v>61</v>
      </c>
      <c r="M194" s="5">
        <v>0.05</v>
      </c>
      <c r="N194">
        <f t="shared" si="29"/>
        <v>85.05</v>
      </c>
      <c r="O194" s="3">
        <v>0</v>
      </c>
      <c r="P194">
        <f t="shared" si="30"/>
        <v>85.05</v>
      </c>
      <c r="Q194" s="4">
        <f t="shared" si="31"/>
        <v>86</v>
      </c>
      <c r="R194">
        <v>0</v>
      </c>
      <c r="S194">
        <f t="shared" si="32"/>
        <v>5</v>
      </c>
      <c r="T194">
        <f>IF(C194="","",InventoryTable[[#This Row],[Profit per Unit]]*InventoryTable[[#This Row],[Total Pieces]])</f>
        <v>5</v>
      </c>
      <c r="U194">
        <v>1</v>
      </c>
      <c r="V194">
        <f>IF(C194="","",H194-InventoryTable[[#This Row],[Units Sold]])</f>
        <v>0</v>
      </c>
      <c r="W194">
        <f t="shared" ref="W194:W252" si="33">IF(C194="","",Q194*U194)</f>
        <v>86</v>
      </c>
      <c r="X194">
        <f t="shared" ref="X194:X252" si="34">IF(C194="","",S194*U194)</f>
        <v>5</v>
      </c>
      <c r="Y194" t="str">
        <f>IF(C194="","",IF(InventoryTable[[#This Row],[Stock Balance]]&lt;=0,"Sold Out",IF((InventoryTable[[#This Row],[Stock Balance]]/InventoryTable[[#This Row],[Total Pieces]])&lt;=0.25,"Low on Stocks","Available")))</f>
        <v>Sold Out</v>
      </c>
    </row>
    <row r="195" spans="1:25" x14ac:dyDescent="0.3">
      <c r="A195" t="str">
        <f>IF(C195="","",_xlfn.CONCAT(LEFT(InventoryTable[[#This Row],[Category]],1),InventoryTable[[#This Row],[Product Pricing Type]],ROW()))</f>
        <v>CFM195</v>
      </c>
      <c r="B195" s="7">
        <v>46271</v>
      </c>
      <c r="C195" t="s">
        <v>353</v>
      </c>
      <c r="D195" t="s">
        <v>399</v>
      </c>
      <c r="E195" t="s">
        <v>253</v>
      </c>
      <c r="F195">
        <v>6</v>
      </c>
      <c r="G195">
        <v>20</v>
      </c>
      <c r="H195">
        <f t="shared" si="27"/>
        <v>120</v>
      </c>
      <c r="I195">
        <v>880</v>
      </c>
      <c r="J195">
        <v>1</v>
      </c>
      <c r="K195">
        <f t="shared" si="28"/>
        <v>7.333333333333333</v>
      </c>
      <c r="L195" s="2" t="s">
        <v>61</v>
      </c>
      <c r="M195" s="5">
        <v>0.05</v>
      </c>
      <c r="N195">
        <f t="shared" si="29"/>
        <v>7.6999999999999993</v>
      </c>
      <c r="O195" s="3">
        <v>0.4</v>
      </c>
      <c r="P195">
        <f t="shared" si="30"/>
        <v>10.78</v>
      </c>
      <c r="Q195" s="4">
        <f t="shared" si="31"/>
        <v>11</v>
      </c>
      <c r="R195">
        <v>0</v>
      </c>
      <c r="S195">
        <f t="shared" si="32"/>
        <v>3.666666666666667</v>
      </c>
      <c r="T195">
        <f>IF(C195="","",InventoryTable[[#This Row],[Profit per Unit]]*InventoryTable[[#This Row],[Total Pieces]])</f>
        <v>440.00000000000006</v>
      </c>
      <c r="U195">
        <f t="shared" ref="U195:U252" si="35">IF(C195="","",0)</f>
        <v>0</v>
      </c>
      <c r="V195">
        <f>IF(C195="","",H195-InventoryTable[[#This Row],[Units Sold]])</f>
        <v>120</v>
      </c>
      <c r="W195">
        <f t="shared" si="33"/>
        <v>0</v>
      </c>
      <c r="X195">
        <f t="shared" si="34"/>
        <v>0</v>
      </c>
      <c r="Y195" t="str">
        <f>IF(C195="","",IF(InventoryTable[[#This Row],[Stock Balance]]&lt;=0,"Sold Out",IF((InventoryTable[[#This Row],[Stock Balance]]/InventoryTable[[#This Row],[Total Pieces]])&lt;=0.25,"Low on Stocks","Available")))</f>
        <v>Available</v>
      </c>
    </row>
    <row r="196" spans="1:25" x14ac:dyDescent="0.3">
      <c r="A196" t="str">
        <f>IF(C196="","",_xlfn.CONCAT(LEFT(InventoryTable[[#This Row],[Category]],1),InventoryTable[[#This Row],[Product Pricing Type]],ROW()))</f>
        <v>CFM196</v>
      </c>
      <c r="B196" s="7">
        <v>46271</v>
      </c>
      <c r="C196" t="s">
        <v>353</v>
      </c>
      <c r="D196" t="s">
        <v>400</v>
      </c>
      <c r="E196" t="s">
        <v>400</v>
      </c>
      <c r="F196">
        <v>6</v>
      </c>
      <c r="G196">
        <v>20</v>
      </c>
      <c r="H196">
        <f t="shared" si="27"/>
        <v>120</v>
      </c>
      <c r="I196">
        <v>725</v>
      </c>
      <c r="J196">
        <v>1</v>
      </c>
      <c r="K196">
        <f t="shared" si="28"/>
        <v>6.041666666666667</v>
      </c>
      <c r="L196" s="2" t="s">
        <v>61</v>
      </c>
      <c r="M196" s="5">
        <v>0.05</v>
      </c>
      <c r="N196">
        <f t="shared" si="29"/>
        <v>6.34375</v>
      </c>
      <c r="O196" s="3">
        <v>0.15</v>
      </c>
      <c r="P196">
        <f t="shared" si="30"/>
        <v>7.2953124999999996</v>
      </c>
      <c r="Q196" s="4">
        <f t="shared" si="31"/>
        <v>8</v>
      </c>
      <c r="R196">
        <v>0</v>
      </c>
      <c r="S196">
        <f t="shared" si="32"/>
        <v>1.958333333333333</v>
      </c>
      <c r="T196">
        <f>IF(C196="","",InventoryTable[[#This Row],[Profit per Unit]]*InventoryTable[[#This Row],[Total Pieces]])</f>
        <v>234.99999999999997</v>
      </c>
      <c r="U196">
        <f t="shared" si="35"/>
        <v>0</v>
      </c>
      <c r="V196">
        <f>IF(C196="","",H196-InventoryTable[[#This Row],[Units Sold]])</f>
        <v>120</v>
      </c>
      <c r="W196">
        <f t="shared" si="33"/>
        <v>0</v>
      </c>
      <c r="X196">
        <f t="shared" si="34"/>
        <v>0</v>
      </c>
      <c r="Y196" t="str">
        <f>IF(C196="","",IF(InventoryTable[[#This Row],[Stock Balance]]&lt;=0,"Sold Out",IF((InventoryTable[[#This Row],[Stock Balance]]/InventoryTable[[#This Row],[Total Pieces]])&lt;=0.25,"Low on Stocks","Available")))</f>
        <v>Available</v>
      </c>
    </row>
    <row r="197" spans="1:25" x14ac:dyDescent="0.3">
      <c r="A197" t="str">
        <f>IF(C197="","",_xlfn.CONCAT(LEFT(InventoryTable[[#This Row],[Category]],1),InventoryTable[[#This Row],[Product Pricing Type]],ROW()))</f>
        <v>CFM197</v>
      </c>
      <c r="B197" s="7">
        <v>46271</v>
      </c>
      <c r="C197" t="s">
        <v>353</v>
      </c>
      <c r="D197" t="s">
        <v>401</v>
      </c>
      <c r="E197" t="s">
        <v>295</v>
      </c>
      <c r="F197">
        <v>7</v>
      </c>
      <c r="G197">
        <v>20</v>
      </c>
      <c r="H197">
        <f t="shared" si="27"/>
        <v>140</v>
      </c>
      <c r="I197">
        <v>990</v>
      </c>
      <c r="J197">
        <v>1</v>
      </c>
      <c r="K197">
        <f t="shared" si="28"/>
        <v>7.0714285714285712</v>
      </c>
      <c r="L197" s="2" t="s">
        <v>61</v>
      </c>
      <c r="M197" s="5">
        <v>0.05</v>
      </c>
      <c r="N197">
        <f t="shared" si="29"/>
        <v>7.4249999999999998</v>
      </c>
      <c r="O197" s="3">
        <v>0.1</v>
      </c>
      <c r="P197">
        <f t="shared" si="30"/>
        <v>8.1675000000000004</v>
      </c>
      <c r="Q197" s="4">
        <f t="shared" si="31"/>
        <v>9</v>
      </c>
      <c r="R197">
        <v>0</v>
      </c>
      <c r="S197">
        <f t="shared" si="32"/>
        <v>1.9285714285714288</v>
      </c>
      <c r="T197">
        <f>IF(C197="","",InventoryTable[[#This Row],[Profit per Unit]]*InventoryTable[[#This Row],[Total Pieces]])</f>
        <v>270.00000000000006</v>
      </c>
      <c r="U197">
        <f t="shared" si="35"/>
        <v>0</v>
      </c>
      <c r="V197">
        <f>IF(C197="","",H197-InventoryTable[[#This Row],[Units Sold]])</f>
        <v>140</v>
      </c>
      <c r="W197">
        <f t="shared" si="33"/>
        <v>0</v>
      </c>
      <c r="X197">
        <f t="shared" si="34"/>
        <v>0</v>
      </c>
      <c r="Y197" t="str">
        <f>IF(C197="","",IF(InventoryTable[[#This Row],[Stock Balance]]&lt;=0,"Sold Out",IF((InventoryTable[[#This Row],[Stock Balance]]/InventoryTable[[#This Row],[Total Pieces]])&lt;=0.25,"Low on Stocks","Available")))</f>
        <v>Available</v>
      </c>
    </row>
    <row r="198" spans="1:25" x14ac:dyDescent="0.3">
      <c r="A198" t="str">
        <f>IF(C198="","",_xlfn.CONCAT(LEFT(InventoryTable[[#This Row],[Category]],1),InventoryTable[[#This Row],[Product Pricing Type]],ROW()))</f>
        <v/>
      </c>
      <c r="H198" t="str">
        <f t="shared" si="27"/>
        <v/>
      </c>
      <c r="K198" t="str">
        <f t="shared" si="28"/>
        <v/>
      </c>
      <c r="N198" t="str">
        <f t="shared" si="29"/>
        <v/>
      </c>
      <c r="P198" t="str">
        <f t="shared" si="30"/>
        <v/>
      </c>
      <c r="Q198" s="4" t="str">
        <f t="shared" si="31"/>
        <v/>
      </c>
      <c r="R198" t="str">
        <f t="shared" ref="R198:R224" si="36">IF(C198="","")</f>
        <v/>
      </c>
      <c r="S198" t="str">
        <f t="shared" si="32"/>
        <v/>
      </c>
      <c r="T198" t="str">
        <f>IF(C198="","",InventoryTable[[#This Row],[Profit per Unit]]*InventoryTable[[#This Row],[Total Pieces]])</f>
        <v/>
      </c>
      <c r="U198" t="str">
        <f t="shared" si="35"/>
        <v/>
      </c>
      <c r="V198" t="str">
        <f>IF(C198="","",H198-InventoryTable[[#This Row],[Units Sold]])</f>
        <v/>
      </c>
      <c r="W198" t="str">
        <f t="shared" si="33"/>
        <v/>
      </c>
      <c r="X198" t="str">
        <f t="shared" si="34"/>
        <v/>
      </c>
      <c r="Y198" t="str">
        <f>IF(C198="","",IF(InventoryTable[[#This Row],[Stock Balance]]&lt;=0,"Sold Out",IF((InventoryTable[[#This Row],[Stock Balance]]/InventoryTable[[#This Row],[Total Pieces]])&lt;=0.25,"Low on Stocks","Available")))</f>
        <v/>
      </c>
    </row>
    <row r="199" spans="1:25" x14ac:dyDescent="0.3">
      <c r="A199" t="str">
        <f>IF(C199="","",_xlfn.CONCAT(LEFT(InventoryTable[[#This Row],[Category]],1),InventoryTable[[#This Row],[Product Pricing Type]],ROW()))</f>
        <v/>
      </c>
      <c r="H199" t="str">
        <f t="shared" si="27"/>
        <v/>
      </c>
      <c r="K199" t="str">
        <f t="shared" si="28"/>
        <v/>
      </c>
      <c r="N199" t="str">
        <f t="shared" si="29"/>
        <v/>
      </c>
      <c r="P199" t="str">
        <f t="shared" si="30"/>
        <v/>
      </c>
      <c r="Q199" s="4" t="str">
        <f t="shared" si="31"/>
        <v/>
      </c>
      <c r="R199" t="str">
        <f t="shared" si="36"/>
        <v/>
      </c>
      <c r="S199" t="str">
        <f t="shared" si="32"/>
        <v/>
      </c>
      <c r="T199" t="str">
        <f>IF(C199="","",InventoryTable[[#This Row],[Profit per Unit]]*InventoryTable[[#This Row],[Total Pieces]])</f>
        <v/>
      </c>
      <c r="U199" t="str">
        <f t="shared" si="35"/>
        <v/>
      </c>
      <c r="V199" t="str">
        <f>IF(C199="","",H199-InventoryTable[[#This Row],[Units Sold]])</f>
        <v/>
      </c>
      <c r="W199" t="str">
        <f t="shared" si="33"/>
        <v/>
      </c>
      <c r="X199" t="str">
        <f t="shared" si="34"/>
        <v/>
      </c>
      <c r="Y199" t="str">
        <f>IF(C199="","",IF(InventoryTable[[#This Row],[Stock Balance]]&lt;=0,"Sold Out",IF((InventoryTable[[#This Row],[Stock Balance]]/InventoryTable[[#This Row],[Total Pieces]])&lt;=0.25,"Low on Stocks","Available")))</f>
        <v/>
      </c>
    </row>
    <row r="200" spans="1:25" x14ac:dyDescent="0.3">
      <c r="A200" t="str">
        <f>IF(C200="","",_xlfn.CONCAT(LEFT(InventoryTable[[#This Row],[Category]],1),InventoryTable[[#This Row],[Product Pricing Type]],ROW()))</f>
        <v/>
      </c>
      <c r="H200" t="str">
        <f t="shared" si="27"/>
        <v/>
      </c>
      <c r="K200" t="str">
        <f t="shared" si="28"/>
        <v/>
      </c>
      <c r="N200" t="str">
        <f t="shared" si="29"/>
        <v/>
      </c>
      <c r="P200" t="str">
        <f t="shared" si="30"/>
        <v/>
      </c>
      <c r="Q200" s="4" t="str">
        <f t="shared" si="31"/>
        <v/>
      </c>
      <c r="R200" t="str">
        <f t="shared" si="36"/>
        <v/>
      </c>
      <c r="S200" t="str">
        <f t="shared" si="32"/>
        <v/>
      </c>
      <c r="T200" t="str">
        <f>IF(C200="","",InventoryTable[[#This Row],[Profit per Unit]]*InventoryTable[[#This Row],[Total Pieces]])</f>
        <v/>
      </c>
      <c r="U200" t="str">
        <f t="shared" si="35"/>
        <v/>
      </c>
      <c r="V200" t="str">
        <f>IF(C200="","",H200-InventoryTable[[#This Row],[Units Sold]])</f>
        <v/>
      </c>
      <c r="W200" t="str">
        <f t="shared" si="33"/>
        <v/>
      </c>
      <c r="X200" t="str">
        <f t="shared" si="34"/>
        <v/>
      </c>
      <c r="Y200" t="str">
        <f>IF(C200="","",IF(InventoryTable[[#This Row],[Stock Balance]]&lt;=0,"Sold Out",IF((InventoryTable[[#This Row],[Stock Balance]]/InventoryTable[[#This Row],[Total Pieces]])&lt;=0.25,"Low on Stocks","Available")))</f>
        <v/>
      </c>
    </row>
    <row r="201" spans="1:25" x14ac:dyDescent="0.3">
      <c r="A201" t="str">
        <f>IF(C201="","",_xlfn.CONCAT(LEFT(InventoryTable[[#This Row],[Category]],1),InventoryTable[[#This Row],[Product Pricing Type]],ROW()))</f>
        <v/>
      </c>
      <c r="H201" t="str">
        <f t="shared" si="27"/>
        <v/>
      </c>
      <c r="K201" t="str">
        <f t="shared" si="28"/>
        <v/>
      </c>
      <c r="N201" t="str">
        <f t="shared" si="29"/>
        <v/>
      </c>
      <c r="P201" t="str">
        <f t="shared" si="30"/>
        <v/>
      </c>
      <c r="Q201" s="4" t="str">
        <f t="shared" si="31"/>
        <v/>
      </c>
      <c r="R201" t="str">
        <f t="shared" si="36"/>
        <v/>
      </c>
      <c r="S201" t="str">
        <f t="shared" si="32"/>
        <v/>
      </c>
      <c r="T201" t="str">
        <f>IF(C201="","",InventoryTable[[#This Row],[Profit per Unit]]*InventoryTable[[#This Row],[Total Pieces]])</f>
        <v/>
      </c>
      <c r="U201" t="str">
        <f t="shared" si="35"/>
        <v/>
      </c>
      <c r="V201" t="str">
        <f>IF(C201="","",H201-InventoryTable[[#This Row],[Units Sold]])</f>
        <v/>
      </c>
      <c r="W201" t="str">
        <f t="shared" si="33"/>
        <v/>
      </c>
      <c r="X201" t="str">
        <f t="shared" si="34"/>
        <v/>
      </c>
      <c r="Y201" t="str">
        <f>IF(C201="","",IF(InventoryTable[[#This Row],[Stock Balance]]&lt;=0,"Sold Out",IF((InventoryTable[[#This Row],[Stock Balance]]/InventoryTable[[#This Row],[Total Pieces]])&lt;=0.25,"Low on Stocks","Available")))</f>
        <v/>
      </c>
    </row>
    <row r="202" spans="1:25" x14ac:dyDescent="0.3">
      <c r="A202" t="str">
        <f>IF(C202="","",_xlfn.CONCAT(LEFT(InventoryTable[[#This Row],[Category]],1),InventoryTable[[#This Row],[Product Pricing Type]],ROW()))</f>
        <v/>
      </c>
      <c r="H202" t="str">
        <f t="shared" si="27"/>
        <v/>
      </c>
      <c r="K202" t="str">
        <f t="shared" si="28"/>
        <v/>
      </c>
      <c r="N202" t="str">
        <f t="shared" si="29"/>
        <v/>
      </c>
      <c r="P202" t="str">
        <f t="shared" si="30"/>
        <v/>
      </c>
      <c r="Q202" s="4" t="str">
        <f t="shared" si="31"/>
        <v/>
      </c>
      <c r="R202" t="str">
        <f t="shared" si="36"/>
        <v/>
      </c>
      <c r="S202" t="str">
        <f t="shared" si="32"/>
        <v/>
      </c>
      <c r="T202" t="str">
        <f>IF(C202="","",InventoryTable[[#This Row],[Profit per Unit]]*InventoryTable[[#This Row],[Total Pieces]])</f>
        <v/>
      </c>
      <c r="U202" t="str">
        <f t="shared" si="35"/>
        <v/>
      </c>
      <c r="V202" t="str">
        <f>IF(C202="","",H202-InventoryTable[[#This Row],[Units Sold]])</f>
        <v/>
      </c>
      <c r="W202" t="str">
        <f t="shared" si="33"/>
        <v/>
      </c>
      <c r="X202" t="str">
        <f t="shared" si="34"/>
        <v/>
      </c>
      <c r="Y202" t="str">
        <f>IF(C202="","",IF(InventoryTable[[#This Row],[Stock Balance]]&lt;=0,"Sold Out",IF((InventoryTable[[#This Row],[Stock Balance]]/InventoryTable[[#This Row],[Total Pieces]])&lt;=0.25,"Low on Stocks","Available")))</f>
        <v/>
      </c>
    </row>
    <row r="203" spans="1:25" x14ac:dyDescent="0.3">
      <c r="A203" t="str">
        <f>IF(C203="","",_xlfn.CONCAT(LEFT(InventoryTable[[#This Row],[Category]],1),InventoryTable[[#This Row],[Product Pricing Type]],ROW()))</f>
        <v/>
      </c>
      <c r="H203" t="str">
        <f t="shared" si="27"/>
        <v/>
      </c>
      <c r="K203" t="str">
        <f t="shared" si="28"/>
        <v/>
      </c>
      <c r="N203" t="str">
        <f t="shared" si="29"/>
        <v/>
      </c>
      <c r="P203" t="str">
        <f t="shared" si="30"/>
        <v/>
      </c>
      <c r="Q203" s="4" t="str">
        <f t="shared" si="31"/>
        <v/>
      </c>
      <c r="R203" t="str">
        <f t="shared" si="36"/>
        <v/>
      </c>
      <c r="S203" t="str">
        <f t="shared" si="32"/>
        <v/>
      </c>
      <c r="T203" t="str">
        <f>IF(C203="","",InventoryTable[[#This Row],[Profit per Unit]]*InventoryTable[[#This Row],[Total Pieces]])</f>
        <v/>
      </c>
      <c r="U203" t="str">
        <f t="shared" si="35"/>
        <v/>
      </c>
      <c r="V203" t="str">
        <f>IF(C203="","",H203-InventoryTable[[#This Row],[Units Sold]])</f>
        <v/>
      </c>
      <c r="W203" t="str">
        <f t="shared" si="33"/>
        <v/>
      </c>
      <c r="X203" t="str">
        <f t="shared" si="34"/>
        <v/>
      </c>
      <c r="Y203" t="str">
        <f>IF(C203="","",IF(InventoryTable[[#This Row],[Stock Balance]]&lt;=0,"Sold Out",IF((InventoryTable[[#This Row],[Stock Balance]]/InventoryTable[[#This Row],[Total Pieces]])&lt;=0.25,"Low on Stocks","Available")))</f>
        <v/>
      </c>
    </row>
    <row r="204" spans="1:25" x14ac:dyDescent="0.3">
      <c r="A204" t="str">
        <f>IF(C204="","",_xlfn.CONCAT(LEFT(InventoryTable[[#This Row],[Category]],1),InventoryTable[[#This Row],[Product Pricing Type]],ROW()))</f>
        <v/>
      </c>
      <c r="H204" t="str">
        <f t="shared" si="27"/>
        <v/>
      </c>
      <c r="K204" t="str">
        <f t="shared" si="28"/>
        <v/>
      </c>
      <c r="N204" t="str">
        <f t="shared" si="29"/>
        <v/>
      </c>
      <c r="P204" t="str">
        <f t="shared" si="30"/>
        <v/>
      </c>
      <c r="Q204" s="4" t="str">
        <f t="shared" si="31"/>
        <v/>
      </c>
      <c r="R204" t="str">
        <f t="shared" si="36"/>
        <v/>
      </c>
      <c r="S204" t="str">
        <f t="shared" si="32"/>
        <v/>
      </c>
      <c r="T204" t="str">
        <f>IF(C204="","",InventoryTable[[#This Row],[Profit per Unit]]*InventoryTable[[#This Row],[Total Pieces]])</f>
        <v/>
      </c>
      <c r="U204" t="str">
        <f t="shared" si="35"/>
        <v/>
      </c>
      <c r="V204" t="str">
        <f>IF(C204="","",H204-InventoryTable[[#This Row],[Units Sold]])</f>
        <v/>
      </c>
      <c r="W204" t="str">
        <f t="shared" si="33"/>
        <v/>
      </c>
      <c r="X204" t="str">
        <f t="shared" si="34"/>
        <v/>
      </c>
      <c r="Y204" t="str">
        <f>IF(C204="","",IF(InventoryTable[[#This Row],[Stock Balance]]&lt;=0,"Sold Out",IF((InventoryTable[[#This Row],[Stock Balance]]/InventoryTable[[#This Row],[Total Pieces]])&lt;=0.25,"Low on Stocks","Available")))</f>
        <v/>
      </c>
    </row>
    <row r="205" spans="1:25" x14ac:dyDescent="0.3">
      <c r="A205" t="str">
        <f>IF(C205="","",_xlfn.CONCAT(LEFT(InventoryTable[[#This Row],[Category]],1),InventoryTable[[#This Row],[Product Pricing Type]],ROW()))</f>
        <v/>
      </c>
      <c r="H205" t="str">
        <f t="shared" si="27"/>
        <v/>
      </c>
      <c r="K205" t="str">
        <f t="shared" si="28"/>
        <v/>
      </c>
      <c r="N205" t="str">
        <f t="shared" si="29"/>
        <v/>
      </c>
      <c r="P205" t="str">
        <f t="shared" si="30"/>
        <v/>
      </c>
      <c r="Q205" s="4" t="str">
        <f t="shared" si="31"/>
        <v/>
      </c>
      <c r="R205" t="str">
        <f t="shared" si="36"/>
        <v/>
      </c>
      <c r="S205" t="str">
        <f t="shared" si="32"/>
        <v/>
      </c>
      <c r="T205" t="str">
        <f>IF(C205="","",InventoryTable[[#This Row],[Profit per Unit]]*InventoryTable[[#This Row],[Total Pieces]])</f>
        <v/>
      </c>
      <c r="U205" t="str">
        <f t="shared" si="35"/>
        <v/>
      </c>
      <c r="V205" t="str">
        <f>IF(C205="","",H205-InventoryTable[[#This Row],[Units Sold]])</f>
        <v/>
      </c>
      <c r="W205" t="str">
        <f t="shared" si="33"/>
        <v/>
      </c>
      <c r="X205" t="str">
        <f t="shared" si="34"/>
        <v/>
      </c>
      <c r="Y205" t="str">
        <f>IF(C205="","",IF(InventoryTable[[#This Row],[Stock Balance]]&lt;=0,"Sold Out",IF((InventoryTable[[#This Row],[Stock Balance]]/InventoryTable[[#This Row],[Total Pieces]])&lt;=0.25,"Low on Stocks","Available")))</f>
        <v/>
      </c>
    </row>
    <row r="206" spans="1:25" x14ac:dyDescent="0.3">
      <c r="A206" t="str">
        <f>IF(C206="","",_xlfn.CONCAT(LEFT(InventoryTable[[#This Row],[Category]],1),InventoryTable[[#This Row],[Product Pricing Type]],ROW()))</f>
        <v/>
      </c>
      <c r="H206" t="str">
        <f t="shared" si="27"/>
        <v/>
      </c>
      <c r="K206" t="str">
        <f t="shared" si="28"/>
        <v/>
      </c>
      <c r="N206" t="str">
        <f t="shared" si="29"/>
        <v/>
      </c>
      <c r="P206" t="str">
        <f t="shared" si="30"/>
        <v/>
      </c>
      <c r="Q206" s="4" t="str">
        <f t="shared" si="31"/>
        <v/>
      </c>
      <c r="R206" t="str">
        <f t="shared" si="36"/>
        <v/>
      </c>
      <c r="S206" t="str">
        <f t="shared" si="32"/>
        <v/>
      </c>
      <c r="T206" t="str">
        <f>IF(C206="","",InventoryTable[[#This Row],[Profit per Unit]]*InventoryTable[[#This Row],[Total Pieces]])</f>
        <v/>
      </c>
      <c r="U206" t="str">
        <f t="shared" si="35"/>
        <v/>
      </c>
      <c r="V206" t="str">
        <f>IF(C206="","",H206-InventoryTable[[#This Row],[Units Sold]])</f>
        <v/>
      </c>
      <c r="W206" t="str">
        <f t="shared" si="33"/>
        <v/>
      </c>
      <c r="X206" t="str">
        <f t="shared" si="34"/>
        <v/>
      </c>
      <c r="Y206" t="str">
        <f>IF(C206="","",IF(InventoryTable[[#This Row],[Stock Balance]]&lt;=0,"Sold Out",IF((InventoryTable[[#This Row],[Stock Balance]]/InventoryTable[[#This Row],[Total Pieces]])&lt;=0.25,"Low on Stocks","Available")))</f>
        <v/>
      </c>
    </row>
    <row r="207" spans="1:25" x14ac:dyDescent="0.3">
      <c r="A207" t="str">
        <f>IF(C207="","",_xlfn.CONCAT(LEFT(InventoryTable[[#This Row],[Category]],1),InventoryTable[[#This Row],[Product Pricing Type]],ROW()))</f>
        <v/>
      </c>
      <c r="H207" t="str">
        <f t="shared" si="27"/>
        <v/>
      </c>
      <c r="K207" t="str">
        <f t="shared" si="28"/>
        <v/>
      </c>
      <c r="N207" t="str">
        <f t="shared" si="29"/>
        <v/>
      </c>
      <c r="P207" t="str">
        <f t="shared" si="30"/>
        <v/>
      </c>
      <c r="Q207" s="4" t="str">
        <f t="shared" si="31"/>
        <v/>
      </c>
      <c r="R207" t="str">
        <f t="shared" si="36"/>
        <v/>
      </c>
      <c r="S207" t="str">
        <f t="shared" si="32"/>
        <v/>
      </c>
      <c r="T207" t="str">
        <f>IF(C207="","",InventoryTable[[#This Row],[Profit per Unit]]*InventoryTable[[#This Row],[Total Pieces]])</f>
        <v/>
      </c>
      <c r="U207" t="str">
        <f t="shared" si="35"/>
        <v/>
      </c>
      <c r="V207" t="str">
        <f>IF(C207="","",H207-InventoryTable[[#This Row],[Units Sold]])</f>
        <v/>
      </c>
      <c r="W207" t="str">
        <f t="shared" si="33"/>
        <v/>
      </c>
      <c r="X207" t="str">
        <f t="shared" si="34"/>
        <v/>
      </c>
      <c r="Y207" t="str">
        <f>IF(C207="","",IF(InventoryTable[[#This Row],[Stock Balance]]&lt;=0,"Sold Out",IF((InventoryTable[[#This Row],[Stock Balance]]/InventoryTable[[#This Row],[Total Pieces]])&lt;=0.25,"Low on Stocks","Available")))</f>
        <v/>
      </c>
    </row>
    <row r="208" spans="1:25" x14ac:dyDescent="0.3">
      <c r="A208" t="str">
        <f>IF(C208="","",_xlfn.CONCAT(LEFT(InventoryTable[[#This Row],[Category]],1),InventoryTable[[#This Row],[Product Pricing Type]],ROW()))</f>
        <v/>
      </c>
      <c r="H208" t="str">
        <f t="shared" si="27"/>
        <v/>
      </c>
      <c r="K208" t="str">
        <f t="shared" si="28"/>
        <v/>
      </c>
      <c r="N208" t="str">
        <f t="shared" si="29"/>
        <v/>
      </c>
      <c r="P208" t="str">
        <f t="shared" si="30"/>
        <v/>
      </c>
      <c r="Q208" s="4" t="str">
        <f t="shared" si="31"/>
        <v/>
      </c>
      <c r="R208" t="str">
        <f t="shared" si="36"/>
        <v/>
      </c>
      <c r="S208" t="str">
        <f t="shared" si="32"/>
        <v/>
      </c>
      <c r="T208" t="str">
        <f>IF(C208="","",InventoryTable[[#This Row],[Profit per Unit]]*InventoryTable[[#This Row],[Total Pieces]])</f>
        <v/>
      </c>
      <c r="U208" t="str">
        <f t="shared" si="35"/>
        <v/>
      </c>
      <c r="V208" t="str">
        <f>IF(C208="","",H208-InventoryTable[[#This Row],[Units Sold]])</f>
        <v/>
      </c>
      <c r="W208" t="str">
        <f t="shared" si="33"/>
        <v/>
      </c>
      <c r="X208" t="str">
        <f t="shared" si="34"/>
        <v/>
      </c>
      <c r="Y208" t="str">
        <f>IF(C208="","",IF(InventoryTable[[#This Row],[Stock Balance]]&lt;=0,"Sold Out",IF((InventoryTable[[#This Row],[Stock Balance]]/InventoryTable[[#This Row],[Total Pieces]])&lt;=0.25,"Low on Stocks","Available")))</f>
        <v/>
      </c>
    </row>
    <row r="209" spans="1:25" x14ac:dyDescent="0.3">
      <c r="A209" t="str">
        <f>IF(C209="","",_xlfn.CONCAT(LEFT(InventoryTable[[#This Row],[Category]],1),InventoryTable[[#This Row],[Product Pricing Type]],ROW()))</f>
        <v/>
      </c>
      <c r="H209" t="str">
        <f t="shared" si="27"/>
        <v/>
      </c>
      <c r="K209" t="str">
        <f t="shared" si="28"/>
        <v/>
      </c>
      <c r="N209" t="str">
        <f t="shared" si="29"/>
        <v/>
      </c>
      <c r="P209" t="str">
        <f t="shared" si="30"/>
        <v/>
      </c>
      <c r="Q209" s="4" t="str">
        <f t="shared" si="31"/>
        <v/>
      </c>
      <c r="R209" t="str">
        <f t="shared" si="36"/>
        <v/>
      </c>
      <c r="S209" t="str">
        <f t="shared" si="32"/>
        <v/>
      </c>
      <c r="T209" t="str">
        <f>IF(C209="","",InventoryTable[[#This Row],[Profit per Unit]]*InventoryTable[[#This Row],[Total Pieces]])</f>
        <v/>
      </c>
      <c r="U209" t="str">
        <f t="shared" si="35"/>
        <v/>
      </c>
      <c r="V209" t="str">
        <f>IF(C209="","",H209-InventoryTable[[#This Row],[Units Sold]])</f>
        <v/>
      </c>
      <c r="W209" t="str">
        <f t="shared" si="33"/>
        <v/>
      </c>
      <c r="X209" t="str">
        <f t="shared" si="34"/>
        <v/>
      </c>
      <c r="Y209" t="str">
        <f>IF(C209="","",IF(InventoryTable[[#This Row],[Stock Balance]]&lt;=0,"Sold Out",IF((InventoryTable[[#This Row],[Stock Balance]]/InventoryTable[[#This Row],[Total Pieces]])&lt;=0.25,"Low on Stocks","Available")))</f>
        <v/>
      </c>
    </row>
    <row r="210" spans="1:25" x14ac:dyDescent="0.3">
      <c r="A210" t="str">
        <f>IF(C210="","",_xlfn.CONCAT(LEFT(InventoryTable[[#This Row],[Category]],1),InventoryTable[[#This Row],[Product Pricing Type]],ROW()))</f>
        <v/>
      </c>
      <c r="H210" t="str">
        <f t="shared" si="27"/>
        <v/>
      </c>
      <c r="K210" t="str">
        <f t="shared" si="28"/>
        <v/>
      </c>
      <c r="N210" t="str">
        <f t="shared" si="29"/>
        <v/>
      </c>
      <c r="P210" t="str">
        <f t="shared" si="30"/>
        <v/>
      </c>
      <c r="Q210" s="4" t="str">
        <f t="shared" si="31"/>
        <v/>
      </c>
      <c r="R210" t="str">
        <f t="shared" si="36"/>
        <v/>
      </c>
      <c r="S210" t="str">
        <f t="shared" si="32"/>
        <v/>
      </c>
      <c r="T210" t="str">
        <f>IF(C210="","",InventoryTable[[#This Row],[Profit per Unit]]*InventoryTable[[#This Row],[Total Pieces]])</f>
        <v/>
      </c>
      <c r="U210" t="str">
        <f t="shared" si="35"/>
        <v/>
      </c>
      <c r="V210" t="str">
        <f>IF(C210="","",H210-InventoryTable[[#This Row],[Units Sold]])</f>
        <v/>
      </c>
      <c r="W210" t="str">
        <f t="shared" si="33"/>
        <v/>
      </c>
      <c r="X210" t="str">
        <f t="shared" si="34"/>
        <v/>
      </c>
      <c r="Y210" t="str">
        <f>IF(C210="","",IF(InventoryTable[[#This Row],[Stock Balance]]&lt;=0,"Sold Out",IF((InventoryTable[[#This Row],[Stock Balance]]/InventoryTable[[#This Row],[Total Pieces]])&lt;=0.25,"Low on Stocks","Available")))</f>
        <v/>
      </c>
    </row>
    <row r="211" spans="1:25" x14ac:dyDescent="0.3">
      <c r="A211" t="str">
        <f>IF(C211="","",_xlfn.CONCAT(LEFT(InventoryTable[[#This Row],[Category]],1),InventoryTable[[#This Row],[Product Pricing Type]],ROW()))</f>
        <v/>
      </c>
      <c r="H211" t="str">
        <f t="shared" si="27"/>
        <v/>
      </c>
      <c r="K211" t="str">
        <f t="shared" si="28"/>
        <v/>
      </c>
      <c r="N211" t="str">
        <f t="shared" si="29"/>
        <v/>
      </c>
      <c r="P211" t="str">
        <f t="shared" si="30"/>
        <v/>
      </c>
      <c r="Q211" s="4" t="str">
        <f t="shared" si="31"/>
        <v/>
      </c>
      <c r="R211" t="str">
        <f t="shared" si="36"/>
        <v/>
      </c>
      <c r="S211" t="str">
        <f t="shared" si="32"/>
        <v/>
      </c>
      <c r="T211" t="str">
        <f>IF(C211="","",InventoryTable[[#This Row],[Profit per Unit]]*InventoryTable[[#This Row],[Total Pieces]])</f>
        <v/>
      </c>
      <c r="U211" t="str">
        <f t="shared" si="35"/>
        <v/>
      </c>
      <c r="V211" t="str">
        <f>IF(C211="","",H211-InventoryTable[[#This Row],[Units Sold]])</f>
        <v/>
      </c>
      <c r="W211" t="str">
        <f t="shared" si="33"/>
        <v/>
      </c>
      <c r="X211" t="str">
        <f t="shared" si="34"/>
        <v/>
      </c>
      <c r="Y211" t="str">
        <f>IF(C211="","",IF(InventoryTable[[#This Row],[Stock Balance]]&lt;=0,"Sold Out",IF((InventoryTable[[#This Row],[Stock Balance]]/InventoryTable[[#This Row],[Total Pieces]])&lt;=0.25,"Low on Stocks","Available")))</f>
        <v/>
      </c>
    </row>
    <row r="212" spans="1:25" x14ac:dyDescent="0.3">
      <c r="A212" t="str">
        <f>IF(C212="","",_xlfn.CONCAT(LEFT(InventoryTable[[#This Row],[Category]],1),InventoryTable[[#This Row],[Product Pricing Type]],ROW()))</f>
        <v/>
      </c>
      <c r="H212" t="str">
        <f t="shared" si="27"/>
        <v/>
      </c>
      <c r="K212" t="str">
        <f t="shared" si="28"/>
        <v/>
      </c>
      <c r="N212" t="str">
        <f t="shared" si="29"/>
        <v/>
      </c>
      <c r="P212" t="str">
        <f t="shared" si="30"/>
        <v/>
      </c>
      <c r="Q212" s="4" t="str">
        <f t="shared" si="31"/>
        <v/>
      </c>
      <c r="R212" t="str">
        <f t="shared" si="36"/>
        <v/>
      </c>
      <c r="S212" t="str">
        <f t="shared" si="32"/>
        <v/>
      </c>
      <c r="T212" t="str">
        <f>IF(C212="","",InventoryTable[[#This Row],[Profit per Unit]]*InventoryTable[[#This Row],[Total Pieces]])</f>
        <v/>
      </c>
      <c r="U212" t="str">
        <f t="shared" si="35"/>
        <v/>
      </c>
      <c r="V212" t="str">
        <f>IF(C212="","",H212-InventoryTable[[#This Row],[Units Sold]])</f>
        <v/>
      </c>
      <c r="W212" t="str">
        <f t="shared" si="33"/>
        <v/>
      </c>
      <c r="X212" t="str">
        <f t="shared" si="34"/>
        <v/>
      </c>
      <c r="Y212" t="str">
        <f>IF(C212="","",IF(InventoryTable[[#This Row],[Stock Balance]]&lt;=0,"Sold Out",IF((InventoryTable[[#This Row],[Stock Balance]]/InventoryTable[[#This Row],[Total Pieces]])&lt;=0.25,"Low on Stocks","Available")))</f>
        <v/>
      </c>
    </row>
    <row r="213" spans="1:25" x14ac:dyDescent="0.3">
      <c r="A213" t="str">
        <f>IF(C213="","",_xlfn.CONCAT(LEFT(InventoryTable[[#This Row],[Category]],1),InventoryTable[[#This Row],[Product Pricing Type]],ROW()))</f>
        <v/>
      </c>
      <c r="H213" t="str">
        <f t="shared" si="27"/>
        <v/>
      </c>
      <c r="K213" t="str">
        <f t="shared" si="28"/>
        <v/>
      </c>
      <c r="N213" t="str">
        <f t="shared" si="29"/>
        <v/>
      </c>
      <c r="P213" t="str">
        <f t="shared" si="30"/>
        <v/>
      </c>
      <c r="Q213" s="4" t="str">
        <f t="shared" si="31"/>
        <v/>
      </c>
      <c r="R213" t="str">
        <f t="shared" si="36"/>
        <v/>
      </c>
      <c r="S213" t="str">
        <f t="shared" si="32"/>
        <v/>
      </c>
      <c r="T213" t="str">
        <f>IF(C213="","",InventoryTable[[#This Row],[Profit per Unit]]*InventoryTable[[#This Row],[Total Pieces]])</f>
        <v/>
      </c>
      <c r="U213" t="str">
        <f t="shared" si="35"/>
        <v/>
      </c>
      <c r="V213" t="str">
        <f>IF(C213="","",H213-InventoryTable[[#This Row],[Units Sold]])</f>
        <v/>
      </c>
      <c r="W213" t="str">
        <f t="shared" si="33"/>
        <v/>
      </c>
      <c r="X213" t="str">
        <f t="shared" si="34"/>
        <v/>
      </c>
      <c r="Y213" t="str">
        <f>IF(C213="","",IF(InventoryTable[[#This Row],[Stock Balance]]&lt;=0,"Sold Out",IF((InventoryTable[[#This Row],[Stock Balance]]/InventoryTable[[#This Row],[Total Pieces]])&lt;=0.25,"Low on Stocks","Available")))</f>
        <v/>
      </c>
    </row>
    <row r="214" spans="1:25" x14ac:dyDescent="0.3">
      <c r="A214" t="str">
        <f>IF(C214="","",_xlfn.CONCAT(LEFT(InventoryTable[[#This Row],[Category]],1),InventoryTable[[#This Row],[Product Pricing Type]],ROW()))</f>
        <v/>
      </c>
      <c r="H214" t="str">
        <f t="shared" si="27"/>
        <v/>
      </c>
      <c r="K214" t="str">
        <f t="shared" si="28"/>
        <v/>
      </c>
      <c r="N214" t="str">
        <f t="shared" si="29"/>
        <v/>
      </c>
      <c r="P214" t="str">
        <f t="shared" si="30"/>
        <v/>
      </c>
      <c r="Q214" s="4" t="str">
        <f t="shared" si="31"/>
        <v/>
      </c>
      <c r="R214" t="str">
        <f t="shared" si="36"/>
        <v/>
      </c>
      <c r="S214" t="str">
        <f t="shared" si="32"/>
        <v/>
      </c>
      <c r="T214" t="str">
        <f>IF(C214="","",InventoryTable[[#This Row],[Profit per Unit]]*InventoryTable[[#This Row],[Total Pieces]])</f>
        <v/>
      </c>
      <c r="U214" t="str">
        <f t="shared" si="35"/>
        <v/>
      </c>
      <c r="V214" t="str">
        <f>IF(C214="","",H214-InventoryTable[[#This Row],[Units Sold]])</f>
        <v/>
      </c>
      <c r="W214" t="str">
        <f t="shared" si="33"/>
        <v/>
      </c>
      <c r="X214" t="str">
        <f t="shared" si="34"/>
        <v/>
      </c>
      <c r="Y214" t="str">
        <f>IF(C214="","",IF(InventoryTable[[#This Row],[Stock Balance]]&lt;=0,"Sold Out",IF((InventoryTable[[#This Row],[Stock Balance]]/InventoryTable[[#This Row],[Total Pieces]])&lt;=0.25,"Low on Stocks","Available")))</f>
        <v/>
      </c>
    </row>
    <row r="215" spans="1:25" x14ac:dyDescent="0.3">
      <c r="A215" t="str">
        <f>IF(C215="","",_xlfn.CONCAT(LEFT(InventoryTable[[#This Row],[Category]],1),InventoryTable[[#This Row],[Product Pricing Type]],ROW()))</f>
        <v/>
      </c>
      <c r="H215" t="str">
        <f t="shared" si="27"/>
        <v/>
      </c>
      <c r="K215" t="str">
        <f t="shared" si="28"/>
        <v/>
      </c>
      <c r="N215" t="str">
        <f t="shared" si="29"/>
        <v/>
      </c>
      <c r="P215" t="str">
        <f t="shared" si="30"/>
        <v/>
      </c>
      <c r="Q215" s="4" t="str">
        <f t="shared" si="31"/>
        <v/>
      </c>
      <c r="R215" t="str">
        <f t="shared" si="36"/>
        <v/>
      </c>
      <c r="S215" t="str">
        <f t="shared" si="32"/>
        <v/>
      </c>
      <c r="T215" t="str">
        <f>IF(C215="","",InventoryTable[[#This Row],[Profit per Unit]]*InventoryTable[[#This Row],[Total Pieces]])</f>
        <v/>
      </c>
      <c r="U215" t="str">
        <f t="shared" si="35"/>
        <v/>
      </c>
      <c r="V215" t="str">
        <f>IF(C215="","",H215-InventoryTable[[#This Row],[Units Sold]])</f>
        <v/>
      </c>
      <c r="W215" t="str">
        <f t="shared" si="33"/>
        <v/>
      </c>
      <c r="X215" t="str">
        <f t="shared" si="34"/>
        <v/>
      </c>
      <c r="Y215" t="str">
        <f>IF(C215="","",IF(InventoryTable[[#This Row],[Stock Balance]]&lt;=0,"Sold Out",IF((InventoryTable[[#This Row],[Stock Balance]]/InventoryTable[[#This Row],[Total Pieces]])&lt;=0.25,"Low on Stocks","Available")))</f>
        <v/>
      </c>
    </row>
    <row r="216" spans="1:25" x14ac:dyDescent="0.3">
      <c r="A216" t="str">
        <f>IF(C216="","",_xlfn.CONCAT(LEFT(InventoryTable[[#This Row],[Category]],1),InventoryTable[[#This Row],[Product Pricing Type]],ROW()))</f>
        <v/>
      </c>
      <c r="H216" t="str">
        <f t="shared" si="27"/>
        <v/>
      </c>
      <c r="K216" t="str">
        <f t="shared" si="28"/>
        <v/>
      </c>
      <c r="N216" t="str">
        <f t="shared" si="29"/>
        <v/>
      </c>
      <c r="P216" t="str">
        <f t="shared" si="30"/>
        <v/>
      </c>
      <c r="Q216" s="4" t="str">
        <f t="shared" si="31"/>
        <v/>
      </c>
      <c r="R216" t="str">
        <f t="shared" si="36"/>
        <v/>
      </c>
      <c r="S216" t="str">
        <f t="shared" si="32"/>
        <v/>
      </c>
      <c r="T216" t="str">
        <f>IF(C216="","",InventoryTable[[#This Row],[Profit per Unit]]*InventoryTable[[#This Row],[Total Pieces]])</f>
        <v/>
      </c>
      <c r="U216" t="str">
        <f t="shared" si="35"/>
        <v/>
      </c>
      <c r="V216" t="str">
        <f>IF(C216="","",H216-InventoryTable[[#This Row],[Units Sold]])</f>
        <v/>
      </c>
      <c r="W216" t="str">
        <f t="shared" si="33"/>
        <v/>
      </c>
      <c r="X216" t="str">
        <f t="shared" si="34"/>
        <v/>
      </c>
      <c r="Y216" t="str">
        <f>IF(C216="","",IF(InventoryTable[[#This Row],[Stock Balance]]&lt;=0,"Sold Out",IF((InventoryTable[[#This Row],[Stock Balance]]/InventoryTable[[#This Row],[Total Pieces]])&lt;=0.25,"Low on Stocks","Available")))</f>
        <v/>
      </c>
    </row>
    <row r="217" spans="1:25" x14ac:dyDescent="0.3">
      <c r="A217" t="str">
        <f>IF(C217="","",_xlfn.CONCAT(LEFT(InventoryTable[[#This Row],[Category]],1),InventoryTable[[#This Row],[Product Pricing Type]],ROW()))</f>
        <v/>
      </c>
      <c r="H217" t="str">
        <f t="shared" si="27"/>
        <v/>
      </c>
      <c r="K217" t="str">
        <f t="shared" si="28"/>
        <v/>
      </c>
      <c r="N217" t="str">
        <f t="shared" si="29"/>
        <v/>
      </c>
      <c r="P217" t="str">
        <f t="shared" si="30"/>
        <v/>
      </c>
      <c r="Q217" s="4" t="str">
        <f t="shared" si="31"/>
        <v/>
      </c>
      <c r="R217" t="str">
        <f t="shared" si="36"/>
        <v/>
      </c>
      <c r="S217" t="str">
        <f t="shared" si="32"/>
        <v/>
      </c>
      <c r="T217" t="str">
        <f>IF(C217="","",InventoryTable[[#This Row],[Profit per Unit]]*InventoryTable[[#This Row],[Total Pieces]])</f>
        <v/>
      </c>
      <c r="U217" t="str">
        <f t="shared" si="35"/>
        <v/>
      </c>
      <c r="V217" t="str">
        <f>IF(C217="","",H217-InventoryTable[[#This Row],[Units Sold]])</f>
        <v/>
      </c>
      <c r="W217" t="str">
        <f t="shared" si="33"/>
        <v/>
      </c>
      <c r="X217" t="str">
        <f t="shared" si="34"/>
        <v/>
      </c>
      <c r="Y217" t="str">
        <f>IF(C217="","",IF(InventoryTable[[#This Row],[Stock Balance]]&lt;=0,"Sold Out",IF((InventoryTable[[#This Row],[Stock Balance]]/InventoryTable[[#This Row],[Total Pieces]])&lt;=0.25,"Low on Stocks","Available")))</f>
        <v/>
      </c>
    </row>
    <row r="218" spans="1:25" x14ac:dyDescent="0.3">
      <c r="A218" t="str">
        <f>IF(C218="","",_xlfn.CONCAT(LEFT(InventoryTable[[#This Row],[Category]],1),InventoryTable[[#This Row],[Product Pricing Type]],ROW()))</f>
        <v/>
      </c>
      <c r="H218" t="str">
        <f t="shared" si="27"/>
        <v/>
      </c>
      <c r="K218" t="str">
        <f t="shared" si="28"/>
        <v/>
      </c>
      <c r="N218" t="str">
        <f t="shared" si="29"/>
        <v/>
      </c>
      <c r="P218" t="str">
        <f t="shared" si="30"/>
        <v/>
      </c>
      <c r="Q218" s="4" t="str">
        <f t="shared" si="31"/>
        <v/>
      </c>
      <c r="R218" t="str">
        <f t="shared" si="36"/>
        <v/>
      </c>
      <c r="S218" t="str">
        <f t="shared" si="32"/>
        <v/>
      </c>
      <c r="T218" t="str">
        <f>IF(C218="","",InventoryTable[[#This Row],[Profit per Unit]]*InventoryTable[[#This Row],[Total Pieces]])</f>
        <v/>
      </c>
      <c r="U218" t="str">
        <f t="shared" si="35"/>
        <v/>
      </c>
      <c r="V218" t="str">
        <f>IF(C218="","",H218-InventoryTable[[#This Row],[Units Sold]])</f>
        <v/>
      </c>
      <c r="W218" t="str">
        <f t="shared" si="33"/>
        <v/>
      </c>
      <c r="X218" t="str">
        <f t="shared" si="34"/>
        <v/>
      </c>
      <c r="Y218" t="str">
        <f>IF(C218="","",IF(InventoryTable[[#This Row],[Stock Balance]]&lt;=0,"Sold Out",IF((InventoryTable[[#This Row],[Stock Balance]]/InventoryTable[[#This Row],[Total Pieces]])&lt;=0.25,"Low on Stocks","Available")))</f>
        <v/>
      </c>
    </row>
    <row r="219" spans="1:25" x14ac:dyDescent="0.3">
      <c r="A219" t="str">
        <f>IF(C219="","",_xlfn.CONCAT(LEFT(InventoryTable[[#This Row],[Category]],1),InventoryTable[[#This Row],[Product Pricing Type]],ROW()))</f>
        <v/>
      </c>
      <c r="H219" t="str">
        <f t="shared" si="27"/>
        <v/>
      </c>
      <c r="K219" t="str">
        <f t="shared" si="28"/>
        <v/>
      </c>
      <c r="N219" t="str">
        <f t="shared" si="29"/>
        <v/>
      </c>
      <c r="P219" t="str">
        <f t="shared" si="30"/>
        <v/>
      </c>
      <c r="Q219" s="4" t="str">
        <f t="shared" si="31"/>
        <v/>
      </c>
      <c r="R219" t="str">
        <f t="shared" si="36"/>
        <v/>
      </c>
      <c r="S219" t="str">
        <f t="shared" si="32"/>
        <v/>
      </c>
      <c r="T219" t="str">
        <f>IF(C219="","",InventoryTable[[#This Row],[Profit per Unit]]*InventoryTable[[#This Row],[Total Pieces]])</f>
        <v/>
      </c>
      <c r="U219" t="str">
        <f t="shared" si="35"/>
        <v/>
      </c>
      <c r="V219" t="str">
        <f>IF(C219="","",H219-InventoryTable[[#This Row],[Units Sold]])</f>
        <v/>
      </c>
      <c r="W219" t="str">
        <f t="shared" si="33"/>
        <v/>
      </c>
      <c r="X219" t="str">
        <f t="shared" si="34"/>
        <v/>
      </c>
      <c r="Y219" t="str">
        <f>IF(C219="","",IF(InventoryTable[[#This Row],[Stock Balance]]&lt;=0,"Sold Out",IF((InventoryTable[[#This Row],[Stock Balance]]/InventoryTable[[#This Row],[Total Pieces]])&lt;=0.25,"Low on Stocks","Available")))</f>
        <v/>
      </c>
    </row>
    <row r="220" spans="1:25" x14ac:dyDescent="0.3">
      <c r="A220" t="str">
        <f>IF(C220="","",_xlfn.CONCAT(LEFT(InventoryTable[[#This Row],[Category]],1),InventoryTable[[#This Row],[Product Pricing Type]],ROW()))</f>
        <v/>
      </c>
      <c r="H220" t="str">
        <f t="shared" si="27"/>
        <v/>
      </c>
      <c r="K220" t="str">
        <f t="shared" si="28"/>
        <v/>
      </c>
      <c r="N220" t="str">
        <f t="shared" si="29"/>
        <v/>
      </c>
      <c r="P220" t="str">
        <f t="shared" si="30"/>
        <v/>
      </c>
      <c r="Q220" s="4" t="str">
        <f t="shared" si="31"/>
        <v/>
      </c>
      <c r="R220" t="str">
        <f t="shared" si="36"/>
        <v/>
      </c>
      <c r="S220" t="str">
        <f t="shared" si="32"/>
        <v/>
      </c>
      <c r="T220" t="str">
        <f>IF(C220="","",InventoryTable[[#This Row],[Profit per Unit]]*InventoryTable[[#This Row],[Total Pieces]])</f>
        <v/>
      </c>
      <c r="U220" t="str">
        <f t="shared" si="35"/>
        <v/>
      </c>
      <c r="V220" t="str">
        <f>IF(C220="","",H220-InventoryTable[[#This Row],[Units Sold]])</f>
        <v/>
      </c>
      <c r="W220" t="str">
        <f t="shared" si="33"/>
        <v/>
      </c>
      <c r="X220" t="str">
        <f t="shared" si="34"/>
        <v/>
      </c>
      <c r="Y220" t="str">
        <f>IF(C220="","",IF(InventoryTable[[#This Row],[Stock Balance]]&lt;=0,"Sold Out",IF((InventoryTable[[#This Row],[Stock Balance]]/InventoryTable[[#This Row],[Total Pieces]])&lt;=0.25,"Low on Stocks","Available")))</f>
        <v/>
      </c>
    </row>
    <row r="221" spans="1:25" x14ac:dyDescent="0.3">
      <c r="A221" t="str">
        <f>IF(C221="","",_xlfn.CONCAT(LEFT(InventoryTable[[#This Row],[Category]],1),InventoryTable[[#This Row],[Product Pricing Type]],ROW()))</f>
        <v/>
      </c>
      <c r="H221" t="str">
        <f t="shared" si="27"/>
        <v/>
      </c>
      <c r="K221" t="str">
        <f t="shared" si="28"/>
        <v/>
      </c>
      <c r="N221" t="str">
        <f t="shared" si="29"/>
        <v/>
      </c>
      <c r="P221" t="str">
        <f t="shared" si="30"/>
        <v/>
      </c>
      <c r="Q221" s="4" t="str">
        <f t="shared" si="31"/>
        <v/>
      </c>
      <c r="R221" t="str">
        <f t="shared" si="36"/>
        <v/>
      </c>
      <c r="S221" t="str">
        <f t="shared" si="32"/>
        <v/>
      </c>
      <c r="T221" t="str">
        <f>IF(C221="","",InventoryTable[[#This Row],[Profit per Unit]]*InventoryTable[[#This Row],[Total Pieces]])</f>
        <v/>
      </c>
      <c r="U221" t="str">
        <f t="shared" si="35"/>
        <v/>
      </c>
      <c r="V221" t="str">
        <f>IF(C221="","",H221-InventoryTable[[#This Row],[Units Sold]])</f>
        <v/>
      </c>
      <c r="W221" t="str">
        <f t="shared" si="33"/>
        <v/>
      </c>
      <c r="X221" t="str">
        <f t="shared" si="34"/>
        <v/>
      </c>
      <c r="Y221" t="str">
        <f>IF(C221="","",IF(InventoryTable[[#This Row],[Stock Balance]]&lt;=0,"Sold Out",IF((InventoryTable[[#This Row],[Stock Balance]]/InventoryTable[[#This Row],[Total Pieces]])&lt;=0.25,"Low on Stocks","Available")))</f>
        <v/>
      </c>
    </row>
    <row r="222" spans="1:25" x14ac:dyDescent="0.3">
      <c r="A222" t="str">
        <f>IF(C222="","",_xlfn.CONCAT(LEFT(InventoryTable[[#This Row],[Category]],1),InventoryTable[[#This Row],[Product Pricing Type]],ROW()))</f>
        <v/>
      </c>
      <c r="H222" t="str">
        <f t="shared" si="27"/>
        <v/>
      </c>
      <c r="K222" t="str">
        <f t="shared" si="28"/>
        <v/>
      </c>
      <c r="N222" t="str">
        <f t="shared" si="29"/>
        <v/>
      </c>
      <c r="P222" t="str">
        <f t="shared" si="30"/>
        <v/>
      </c>
      <c r="Q222" s="4" t="str">
        <f t="shared" si="31"/>
        <v/>
      </c>
      <c r="R222" t="str">
        <f t="shared" si="36"/>
        <v/>
      </c>
      <c r="S222" t="str">
        <f t="shared" si="32"/>
        <v/>
      </c>
      <c r="T222" t="str">
        <f>IF(C222="","",InventoryTable[[#This Row],[Profit per Unit]]*InventoryTable[[#This Row],[Total Pieces]])</f>
        <v/>
      </c>
      <c r="U222" t="str">
        <f t="shared" si="35"/>
        <v/>
      </c>
      <c r="V222" t="str">
        <f>IF(C222="","",H222-InventoryTable[[#This Row],[Units Sold]])</f>
        <v/>
      </c>
      <c r="W222" t="str">
        <f t="shared" si="33"/>
        <v/>
      </c>
      <c r="X222" t="str">
        <f t="shared" si="34"/>
        <v/>
      </c>
      <c r="Y222" t="str">
        <f>IF(C222="","",IF(InventoryTable[[#This Row],[Stock Balance]]&lt;=0,"Sold Out",IF((InventoryTable[[#This Row],[Stock Balance]]/InventoryTable[[#This Row],[Total Pieces]])&lt;=0.25,"Low on Stocks","Available")))</f>
        <v/>
      </c>
    </row>
    <row r="223" spans="1:25" x14ac:dyDescent="0.3">
      <c r="A223" t="str">
        <f>IF(C223="","",_xlfn.CONCAT(LEFT(InventoryTable[[#This Row],[Category]],1),InventoryTable[[#This Row],[Product Pricing Type]],ROW()))</f>
        <v/>
      </c>
      <c r="H223" t="str">
        <f t="shared" si="27"/>
        <v/>
      </c>
      <c r="K223" t="str">
        <f t="shared" si="28"/>
        <v/>
      </c>
      <c r="N223" t="str">
        <f t="shared" si="29"/>
        <v/>
      </c>
      <c r="P223" t="str">
        <f t="shared" si="30"/>
        <v/>
      </c>
      <c r="Q223" s="4" t="str">
        <f t="shared" si="31"/>
        <v/>
      </c>
      <c r="R223" t="str">
        <f t="shared" si="36"/>
        <v/>
      </c>
      <c r="S223" t="str">
        <f t="shared" si="32"/>
        <v/>
      </c>
      <c r="T223" t="str">
        <f>IF(C223="","",InventoryTable[[#This Row],[Profit per Unit]]*InventoryTable[[#This Row],[Total Pieces]])</f>
        <v/>
      </c>
      <c r="U223" t="str">
        <f t="shared" si="35"/>
        <v/>
      </c>
      <c r="V223" t="str">
        <f>IF(C223="","",H223-InventoryTable[[#This Row],[Units Sold]])</f>
        <v/>
      </c>
      <c r="W223" t="str">
        <f t="shared" si="33"/>
        <v/>
      </c>
      <c r="X223" t="str">
        <f t="shared" si="34"/>
        <v/>
      </c>
      <c r="Y223" t="str">
        <f>IF(C223="","",IF(InventoryTable[[#This Row],[Stock Balance]]&lt;=0,"Sold Out",IF((InventoryTable[[#This Row],[Stock Balance]]/InventoryTable[[#This Row],[Total Pieces]])&lt;=0.25,"Low on Stocks","Available")))</f>
        <v/>
      </c>
    </row>
    <row r="224" spans="1:25" x14ac:dyDescent="0.3">
      <c r="A224" t="str">
        <f>IF(C224="","",_xlfn.CONCAT(LEFT(InventoryTable[[#This Row],[Category]],1),InventoryTable[[#This Row],[Product Pricing Type]],ROW()))</f>
        <v/>
      </c>
      <c r="H224" t="str">
        <f t="shared" si="27"/>
        <v/>
      </c>
      <c r="K224" t="str">
        <f t="shared" si="28"/>
        <v/>
      </c>
      <c r="N224" t="str">
        <f t="shared" si="29"/>
        <v/>
      </c>
      <c r="P224" t="str">
        <f t="shared" si="30"/>
        <v/>
      </c>
      <c r="Q224" s="4" t="str">
        <f t="shared" si="31"/>
        <v/>
      </c>
      <c r="R224" t="str">
        <f t="shared" si="36"/>
        <v/>
      </c>
      <c r="S224" t="str">
        <f t="shared" si="32"/>
        <v/>
      </c>
      <c r="T224" t="str">
        <f>IF(C224="","",InventoryTable[[#This Row],[Profit per Unit]]*InventoryTable[[#This Row],[Total Pieces]])</f>
        <v/>
      </c>
      <c r="U224" t="str">
        <f t="shared" si="35"/>
        <v/>
      </c>
      <c r="V224" t="str">
        <f>IF(C224="","",H224-InventoryTable[[#This Row],[Units Sold]])</f>
        <v/>
      </c>
      <c r="W224" t="str">
        <f t="shared" si="33"/>
        <v/>
      </c>
      <c r="X224" t="str">
        <f t="shared" si="34"/>
        <v/>
      </c>
      <c r="Y224" t="str">
        <f>IF(C224="","",IF(InventoryTable[[#This Row],[Stock Balance]]&lt;=0,"Sold Out",IF((InventoryTable[[#This Row],[Stock Balance]]/InventoryTable[[#This Row],[Total Pieces]])&lt;=0.25,"Low on Stocks","Available")))</f>
        <v/>
      </c>
    </row>
    <row r="225" spans="1:25" x14ac:dyDescent="0.3">
      <c r="A225" t="str">
        <f>IF(C225="","",_xlfn.CONCAT(LEFT(InventoryTable[[#This Row],[Category]],1),InventoryTable[[#This Row],[Product Pricing Type]],ROW()))</f>
        <v/>
      </c>
      <c r="H225" t="str">
        <f t="shared" ref="H225:H288" si="37">IF(C225="","",G225*F225)</f>
        <v/>
      </c>
      <c r="K225" t="str">
        <f t="shared" ref="K225:K288" si="38">IF(C225="","",IF(J225=1,I225/H225,I225*G225*F225))</f>
        <v/>
      </c>
      <c r="N225" t="str">
        <f t="shared" ref="N225:N288" si="39">IF(C225="","",IF(J225=1,K225+(K225*M225),I225+(I225*M225)))</f>
        <v/>
      </c>
      <c r="P225" t="str">
        <f t="shared" ref="P225:P288" si="40">IF(C225="","",N225+(N225*O225))</f>
        <v/>
      </c>
      <c r="Q225" s="4" t="str">
        <f t="shared" ref="Q225:Q288" si="41">IF(C225="","",ROUNDUP(P225,0))</f>
        <v/>
      </c>
      <c r="R225" t="str">
        <f t="shared" ref="R225:R288" si="42">IF(C225="","")</f>
        <v/>
      </c>
      <c r="S225" t="str">
        <f t="shared" ref="S225:S288" si="43">IF(C225="","",IF(COUNTIF(C225,"*Fixed*")&gt;0,(K225-R225)/H225,IF(J225=1,Q225-K225,Q225-I225)))</f>
        <v/>
      </c>
      <c r="T225" t="str">
        <f>IF(C225="","",InventoryTable[[#This Row],[Profit per Unit]]*InventoryTable[[#This Row],[Total Pieces]])</f>
        <v/>
      </c>
      <c r="U225" t="str">
        <f t="shared" si="35"/>
        <v/>
      </c>
      <c r="V225" t="str">
        <f>IF(C225="","",H225-InventoryTable[[#This Row],[Units Sold]])</f>
        <v/>
      </c>
      <c r="W225" t="str">
        <f t="shared" si="33"/>
        <v/>
      </c>
      <c r="X225" t="str">
        <f t="shared" si="34"/>
        <v/>
      </c>
      <c r="Y225" t="str">
        <f>IF(C225="","",IF(InventoryTable[[#This Row],[Stock Balance]]&lt;=0,"Sold Out",IF((InventoryTable[[#This Row],[Stock Balance]]/InventoryTable[[#This Row],[Total Pieces]])&lt;=0.25,"Low on Stocks","Available")))</f>
        <v/>
      </c>
    </row>
    <row r="226" spans="1:25" x14ac:dyDescent="0.3">
      <c r="A226" t="str">
        <f>IF(C226="","",_xlfn.CONCAT(LEFT(InventoryTable[[#This Row],[Category]],1),InventoryTable[[#This Row],[Product Pricing Type]],ROW()))</f>
        <v/>
      </c>
      <c r="H226" t="str">
        <f t="shared" si="37"/>
        <v/>
      </c>
      <c r="K226" t="str">
        <f t="shared" si="38"/>
        <v/>
      </c>
      <c r="N226" t="str">
        <f t="shared" si="39"/>
        <v/>
      </c>
      <c r="P226" t="str">
        <f t="shared" si="40"/>
        <v/>
      </c>
      <c r="Q226" s="4" t="str">
        <f t="shared" si="41"/>
        <v/>
      </c>
      <c r="R226" t="str">
        <f t="shared" si="42"/>
        <v/>
      </c>
      <c r="S226" t="str">
        <f t="shared" si="43"/>
        <v/>
      </c>
      <c r="T226" t="str">
        <f>IF(C226="","",InventoryTable[[#This Row],[Profit per Unit]]*InventoryTable[[#This Row],[Total Pieces]])</f>
        <v/>
      </c>
      <c r="U226" t="str">
        <f t="shared" si="35"/>
        <v/>
      </c>
      <c r="V226" t="str">
        <f>IF(C226="","",H226-InventoryTable[[#This Row],[Units Sold]])</f>
        <v/>
      </c>
      <c r="W226" t="str">
        <f t="shared" si="33"/>
        <v/>
      </c>
      <c r="X226" t="str">
        <f t="shared" si="34"/>
        <v/>
      </c>
      <c r="Y226" t="str">
        <f>IF(C226="","",IF(InventoryTable[[#This Row],[Stock Balance]]&lt;=0,"Sold Out",IF((InventoryTable[[#This Row],[Stock Balance]]/InventoryTable[[#This Row],[Total Pieces]])&lt;=0.25,"Low on Stocks","Available")))</f>
        <v/>
      </c>
    </row>
    <row r="227" spans="1:25" x14ac:dyDescent="0.3">
      <c r="A227" t="str">
        <f>IF(C227="","",_xlfn.CONCAT(LEFT(InventoryTable[[#This Row],[Category]],1),InventoryTable[[#This Row],[Product Pricing Type]],ROW()))</f>
        <v/>
      </c>
      <c r="H227" t="str">
        <f t="shared" si="37"/>
        <v/>
      </c>
      <c r="K227" t="str">
        <f t="shared" si="38"/>
        <v/>
      </c>
      <c r="N227" t="str">
        <f t="shared" si="39"/>
        <v/>
      </c>
      <c r="P227" t="str">
        <f t="shared" si="40"/>
        <v/>
      </c>
      <c r="Q227" s="4" t="str">
        <f t="shared" si="41"/>
        <v/>
      </c>
      <c r="R227" t="str">
        <f t="shared" si="42"/>
        <v/>
      </c>
      <c r="S227" t="str">
        <f t="shared" si="43"/>
        <v/>
      </c>
      <c r="T227" t="str">
        <f>IF(C227="","",InventoryTable[[#This Row],[Profit per Unit]]*InventoryTable[[#This Row],[Total Pieces]])</f>
        <v/>
      </c>
      <c r="U227" t="str">
        <f t="shared" si="35"/>
        <v/>
      </c>
      <c r="V227" t="str">
        <f>IF(C227="","",H227-InventoryTable[[#This Row],[Units Sold]])</f>
        <v/>
      </c>
      <c r="W227" t="str">
        <f t="shared" si="33"/>
        <v/>
      </c>
      <c r="X227" t="str">
        <f t="shared" si="34"/>
        <v/>
      </c>
      <c r="Y227" t="str">
        <f>IF(C227="","",IF(InventoryTable[[#This Row],[Stock Balance]]&lt;=0,"Sold Out",IF((InventoryTable[[#This Row],[Stock Balance]]/InventoryTable[[#This Row],[Total Pieces]])&lt;=0.25,"Low on Stocks","Available")))</f>
        <v/>
      </c>
    </row>
    <row r="228" spans="1:25" x14ac:dyDescent="0.3">
      <c r="A228" t="str">
        <f>IF(C228="","",_xlfn.CONCAT(LEFT(InventoryTable[[#This Row],[Category]],1),InventoryTable[[#This Row],[Product Pricing Type]],ROW()))</f>
        <v/>
      </c>
      <c r="H228" t="str">
        <f t="shared" si="37"/>
        <v/>
      </c>
      <c r="K228" t="str">
        <f t="shared" si="38"/>
        <v/>
      </c>
      <c r="N228" t="str">
        <f t="shared" si="39"/>
        <v/>
      </c>
      <c r="P228" t="str">
        <f t="shared" si="40"/>
        <v/>
      </c>
      <c r="Q228" s="4" t="str">
        <f t="shared" si="41"/>
        <v/>
      </c>
      <c r="R228" t="str">
        <f t="shared" si="42"/>
        <v/>
      </c>
      <c r="S228" t="str">
        <f t="shared" si="43"/>
        <v/>
      </c>
      <c r="T228" t="str">
        <f>IF(C228="","",InventoryTable[[#This Row],[Profit per Unit]]*InventoryTable[[#This Row],[Total Pieces]])</f>
        <v/>
      </c>
      <c r="U228" t="str">
        <f t="shared" si="35"/>
        <v/>
      </c>
      <c r="V228" t="str">
        <f>IF(C228="","",H228-InventoryTable[[#This Row],[Units Sold]])</f>
        <v/>
      </c>
      <c r="W228" t="str">
        <f t="shared" si="33"/>
        <v/>
      </c>
      <c r="X228" t="str">
        <f t="shared" si="34"/>
        <v/>
      </c>
      <c r="Y228" t="str">
        <f>IF(C228="","",IF(InventoryTable[[#This Row],[Stock Balance]]&lt;=0,"Sold Out",IF((InventoryTable[[#This Row],[Stock Balance]]/InventoryTable[[#This Row],[Total Pieces]])&lt;=0.25,"Low on Stocks","Available")))</f>
        <v/>
      </c>
    </row>
    <row r="229" spans="1:25" x14ac:dyDescent="0.3">
      <c r="A229" t="str">
        <f>IF(C229="","",_xlfn.CONCAT(LEFT(InventoryTable[[#This Row],[Category]],1),InventoryTable[[#This Row],[Product Pricing Type]],ROW()))</f>
        <v/>
      </c>
      <c r="H229" t="str">
        <f t="shared" si="37"/>
        <v/>
      </c>
      <c r="K229" t="str">
        <f t="shared" si="38"/>
        <v/>
      </c>
      <c r="N229" t="str">
        <f t="shared" si="39"/>
        <v/>
      </c>
      <c r="P229" t="str">
        <f t="shared" si="40"/>
        <v/>
      </c>
      <c r="Q229" s="4" t="str">
        <f t="shared" si="41"/>
        <v/>
      </c>
      <c r="R229" t="str">
        <f t="shared" si="42"/>
        <v/>
      </c>
      <c r="S229" t="str">
        <f t="shared" si="43"/>
        <v/>
      </c>
      <c r="T229" t="str">
        <f>IF(C229="","",InventoryTable[[#This Row],[Profit per Unit]]*InventoryTable[[#This Row],[Total Pieces]])</f>
        <v/>
      </c>
      <c r="U229" t="str">
        <f t="shared" si="35"/>
        <v/>
      </c>
      <c r="V229" t="str">
        <f>IF(C229="","",H229-InventoryTable[[#This Row],[Units Sold]])</f>
        <v/>
      </c>
      <c r="W229" t="str">
        <f t="shared" si="33"/>
        <v/>
      </c>
      <c r="X229" t="str">
        <f t="shared" si="34"/>
        <v/>
      </c>
      <c r="Y229" t="str">
        <f>IF(C229="","",IF(InventoryTable[[#This Row],[Stock Balance]]&lt;=0,"Sold Out",IF((InventoryTable[[#This Row],[Stock Balance]]/InventoryTable[[#This Row],[Total Pieces]])&lt;=0.25,"Low on Stocks","Available")))</f>
        <v/>
      </c>
    </row>
    <row r="230" spans="1:25" x14ac:dyDescent="0.3">
      <c r="A230" t="str">
        <f>IF(C230="","",_xlfn.CONCAT(LEFT(InventoryTable[[#This Row],[Category]],1),InventoryTable[[#This Row],[Product Pricing Type]],ROW()))</f>
        <v/>
      </c>
      <c r="H230" t="str">
        <f t="shared" si="37"/>
        <v/>
      </c>
      <c r="K230" t="str">
        <f t="shared" si="38"/>
        <v/>
      </c>
      <c r="N230" t="str">
        <f t="shared" si="39"/>
        <v/>
      </c>
      <c r="P230" t="str">
        <f t="shared" si="40"/>
        <v/>
      </c>
      <c r="Q230" s="4" t="str">
        <f t="shared" si="41"/>
        <v/>
      </c>
      <c r="R230" t="str">
        <f t="shared" si="42"/>
        <v/>
      </c>
      <c r="S230" t="str">
        <f t="shared" si="43"/>
        <v/>
      </c>
      <c r="T230" t="str">
        <f>IF(C230="","",InventoryTable[[#This Row],[Profit per Unit]]*InventoryTable[[#This Row],[Total Pieces]])</f>
        <v/>
      </c>
      <c r="U230" t="str">
        <f t="shared" si="35"/>
        <v/>
      </c>
      <c r="V230" t="str">
        <f>IF(C230="","",H230-InventoryTable[[#This Row],[Units Sold]])</f>
        <v/>
      </c>
      <c r="W230" t="str">
        <f t="shared" si="33"/>
        <v/>
      </c>
      <c r="X230" t="str">
        <f t="shared" si="34"/>
        <v/>
      </c>
      <c r="Y230" t="str">
        <f>IF(C230="","",IF(InventoryTable[[#This Row],[Stock Balance]]&lt;=0,"Sold Out",IF((InventoryTable[[#This Row],[Stock Balance]]/InventoryTable[[#This Row],[Total Pieces]])&lt;=0.25,"Low on Stocks","Available")))</f>
        <v/>
      </c>
    </row>
    <row r="231" spans="1:25" x14ac:dyDescent="0.3">
      <c r="A231" t="str">
        <f>IF(C231="","",_xlfn.CONCAT(LEFT(InventoryTable[[#This Row],[Category]],1),InventoryTable[[#This Row],[Product Pricing Type]],ROW()))</f>
        <v/>
      </c>
      <c r="H231" t="str">
        <f t="shared" si="37"/>
        <v/>
      </c>
      <c r="K231" t="str">
        <f t="shared" si="38"/>
        <v/>
      </c>
      <c r="N231" t="str">
        <f t="shared" si="39"/>
        <v/>
      </c>
      <c r="P231" t="str">
        <f t="shared" si="40"/>
        <v/>
      </c>
      <c r="Q231" s="4" t="str">
        <f t="shared" si="41"/>
        <v/>
      </c>
      <c r="R231" t="str">
        <f t="shared" si="42"/>
        <v/>
      </c>
      <c r="S231" t="str">
        <f t="shared" si="43"/>
        <v/>
      </c>
      <c r="T231" t="str">
        <f>IF(C231="","",InventoryTable[[#This Row],[Profit per Unit]]*InventoryTable[[#This Row],[Total Pieces]])</f>
        <v/>
      </c>
      <c r="U231" t="str">
        <f t="shared" si="35"/>
        <v/>
      </c>
      <c r="V231" t="str">
        <f>IF(C231="","",H231-InventoryTable[[#This Row],[Units Sold]])</f>
        <v/>
      </c>
      <c r="W231" t="str">
        <f t="shared" si="33"/>
        <v/>
      </c>
      <c r="X231" t="str">
        <f t="shared" si="34"/>
        <v/>
      </c>
      <c r="Y231" t="str">
        <f>IF(C231="","",IF(InventoryTable[[#This Row],[Stock Balance]]&lt;=0,"Sold Out",IF((InventoryTable[[#This Row],[Stock Balance]]/InventoryTable[[#This Row],[Total Pieces]])&lt;=0.25,"Low on Stocks","Available")))</f>
        <v/>
      </c>
    </row>
    <row r="232" spans="1:25" x14ac:dyDescent="0.3">
      <c r="A232" t="str">
        <f>IF(C232="","",_xlfn.CONCAT(LEFT(InventoryTable[[#This Row],[Category]],1),InventoryTable[[#This Row],[Product Pricing Type]],ROW()))</f>
        <v/>
      </c>
      <c r="H232" t="str">
        <f t="shared" si="37"/>
        <v/>
      </c>
      <c r="K232" t="str">
        <f t="shared" si="38"/>
        <v/>
      </c>
      <c r="N232" t="str">
        <f t="shared" si="39"/>
        <v/>
      </c>
      <c r="P232" t="str">
        <f t="shared" si="40"/>
        <v/>
      </c>
      <c r="Q232" s="4" t="str">
        <f t="shared" si="41"/>
        <v/>
      </c>
      <c r="R232" t="str">
        <f t="shared" si="42"/>
        <v/>
      </c>
      <c r="S232" t="str">
        <f t="shared" si="43"/>
        <v/>
      </c>
      <c r="T232" t="str">
        <f>IF(C232="","",InventoryTable[[#This Row],[Profit per Unit]]*InventoryTable[[#This Row],[Total Pieces]])</f>
        <v/>
      </c>
      <c r="U232" t="str">
        <f t="shared" si="35"/>
        <v/>
      </c>
      <c r="V232" t="str">
        <f>IF(C232="","",H232-InventoryTable[[#This Row],[Units Sold]])</f>
        <v/>
      </c>
      <c r="W232" t="str">
        <f t="shared" si="33"/>
        <v/>
      </c>
      <c r="X232" t="str">
        <f t="shared" si="34"/>
        <v/>
      </c>
      <c r="Y232" t="str">
        <f>IF(C232="","",IF(InventoryTable[[#This Row],[Stock Balance]]&lt;=0,"Sold Out",IF((InventoryTable[[#This Row],[Stock Balance]]/InventoryTable[[#This Row],[Total Pieces]])&lt;=0.25,"Low on Stocks","Available")))</f>
        <v/>
      </c>
    </row>
    <row r="233" spans="1:25" x14ac:dyDescent="0.3">
      <c r="A233" t="str">
        <f>IF(C233="","",_xlfn.CONCAT(LEFT(InventoryTable[[#This Row],[Category]],1),InventoryTable[[#This Row],[Product Pricing Type]],ROW()))</f>
        <v/>
      </c>
      <c r="H233" t="str">
        <f t="shared" si="37"/>
        <v/>
      </c>
      <c r="K233" t="str">
        <f t="shared" si="38"/>
        <v/>
      </c>
      <c r="N233" t="str">
        <f t="shared" si="39"/>
        <v/>
      </c>
      <c r="P233" t="str">
        <f t="shared" si="40"/>
        <v/>
      </c>
      <c r="Q233" s="4" t="str">
        <f t="shared" si="41"/>
        <v/>
      </c>
      <c r="R233" t="str">
        <f t="shared" si="42"/>
        <v/>
      </c>
      <c r="S233" t="str">
        <f t="shared" si="43"/>
        <v/>
      </c>
      <c r="T233" t="str">
        <f>IF(C233="","",InventoryTable[[#This Row],[Profit per Unit]]*InventoryTable[[#This Row],[Total Pieces]])</f>
        <v/>
      </c>
      <c r="U233" t="str">
        <f t="shared" si="35"/>
        <v/>
      </c>
      <c r="V233" t="str">
        <f>IF(C233="","",H233-InventoryTable[[#This Row],[Units Sold]])</f>
        <v/>
      </c>
      <c r="W233" t="str">
        <f t="shared" si="33"/>
        <v/>
      </c>
      <c r="X233" t="str">
        <f t="shared" si="34"/>
        <v/>
      </c>
      <c r="Y233" t="str">
        <f>IF(C233="","",IF(InventoryTable[[#This Row],[Stock Balance]]&lt;=0,"Sold Out",IF((InventoryTable[[#This Row],[Stock Balance]]/InventoryTable[[#This Row],[Total Pieces]])&lt;=0.25,"Low on Stocks","Available")))</f>
        <v/>
      </c>
    </row>
    <row r="234" spans="1:25" x14ac:dyDescent="0.3">
      <c r="A234" t="str">
        <f>IF(C234="","",_xlfn.CONCAT(LEFT(InventoryTable[[#This Row],[Category]],1),InventoryTable[[#This Row],[Product Pricing Type]],ROW()))</f>
        <v/>
      </c>
      <c r="H234" t="str">
        <f t="shared" si="37"/>
        <v/>
      </c>
      <c r="K234" t="str">
        <f t="shared" si="38"/>
        <v/>
      </c>
      <c r="N234" t="str">
        <f t="shared" si="39"/>
        <v/>
      </c>
      <c r="P234" t="str">
        <f t="shared" si="40"/>
        <v/>
      </c>
      <c r="Q234" s="4" t="str">
        <f t="shared" si="41"/>
        <v/>
      </c>
      <c r="R234" t="str">
        <f t="shared" si="42"/>
        <v/>
      </c>
      <c r="S234" t="str">
        <f t="shared" si="43"/>
        <v/>
      </c>
      <c r="T234" t="str">
        <f>IF(C234="","",InventoryTable[[#This Row],[Profit per Unit]]*InventoryTable[[#This Row],[Total Pieces]])</f>
        <v/>
      </c>
      <c r="U234" t="str">
        <f t="shared" si="35"/>
        <v/>
      </c>
      <c r="V234" t="str">
        <f>IF(C234="","",H234-InventoryTable[[#This Row],[Units Sold]])</f>
        <v/>
      </c>
      <c r="W234" t="str">
        <f t="shared" si="33"/>
        <v/>
      </c>
      <c r="X234" t="str">
        <f t="shared" si="34"/>
        <v/>
      </c>
      <c r="Y234" t="str">
        <f>IF(C234="","",IF(InventoryTable[[#This Row],[Stock Balance]]&lt;=0,"Sold Out",IF((InventoryTable[[#This Row],[Stock Balance]]/InventoryTable[[#This Row],[Total Pieces]])&lt;=0.25,"Low on Stocks","Available")))</f>
        <v/>
      </c>
    </row>
    <row r="235" spans="1:25" x14ac:dyDescent="0.3">
      <c r="A235" t="str">
        <f>IF(C235="","",_xlfn.CONCAT(LEFT(InventoryTable[[#This Row],[Category]],1),InventoryTable[[#This Row],[Product Pricing Type]],ROW()))</f>
        <v/>
      </c>
      <c r="H235" t="str">
        <f t="shared" si="37"/>
        <v/>
      </c>
      <c r="K235" t="str">
        <f t="shared" si="38"/>
        <v/>
      </c>
      <c r="N235" t="str">
        <f t="shared" si="39"/>
        <v/>
      </c>
      <c r="P235" t="str">
        <f t="shared" si="40"/>
        <v/>
      </c>
      <c r="Q235" s="4" t="str">
        <f t="shared" si="41"/>
        <v/>
      </c>
      <c r="R235" t="str">
        <f t="shared" si="42"/>
        <v/>
      </c>
      <c r="S235" t="str">
        <f t="shared" si="43"/>
        <v/>
      </c>
      <c r="T235" t="str">
        <f>IF(C235="","",InventoryTable[[#This Row],[Profit per Unit]]*InventoryTable[[#This Row],[Total Pieces]])</f>
        <v/>
      </c>
      <c r="U235" t="str">
        <f t="shared" si="35"/>
        <v/>
      </c>
      <c r="V235" t="str">
        <f>IF(C235="","",H235-InventoryTable[[#This Row],[Units Sold]])</f>
        <v/>
      </c>
      <c r="W235" t="str">
        <f t="shared" si="33"/>
        <v/>
      </c>
      <c r="X235" t="str">
        <f t="shared" si="34"/>
        <v/>
      </c>
      <c r="Y235" t="str">
        <f>IF(C235="","",IF(InventoryTable[[#This Row],[Stock Balance]]&lt;=0,"Sold Out",IF((InventoryTable[[#This Row],[Stock Balance]]/InventoryTable[[#This Row],[Total Pieces]])&lt;=0.25,"Low on Stocks","Available")))</f>
        <v/>
      </c>
    </row>
    <row r="236" spans="1:25" x14ac:dyDescent="0.3">
      <c r="A236" t="str">
        <f>IF(C236="","",_xlfn.CONCAT(LEFT(InventoryTable[[#This Row],[Category]],1),InventoryTable[[#This Row],[Product Pricing Type]],ROW()))</f>
        <v/>
      </c>
      <c r="H236" t="str">
        <f t="shared" si="37"/>
        <v/>
      </c>
      <c r="K236" t="str">
        <f t="shared" si="38"/>
        <v/>
      </c>
      <c r="N236" t="str">
        <f t="shared" si="39"/>
        <v/>
      </c>
      <c r="P236" t="str">
        <f t="shared" si="40"/>
        <v/>
      </c>
      <c r="Q236" s="4" t="str">
        <f t="shared" si="41"/>
        <v/>
      </c>
      <c r="R236" t="str">
        <f t="shared" si="42"/>
        <v/>
      </c>
      <c r="S236" t="str">
        <f t="shared" si="43"/>
        <v/>
      </c>
      <c r="T236" t="str">
        <f>IF(C236="","",InventoryTable[[#This Row],[Profit per Unit]]*InventoryTable[[#This Row],[Total Pieces]])</f>
        <v/>
      </c>
      <c r="U236" t="str">
        <f t="shared" si="35"/>
        <v/>
      </c>
      <c r="V236" t="str">
        <f>IF(C236="","",H236-InventoryTable[[#This Row],[Units Sold]])</f>
        <v/>
      </c>
      <c r="W236" t="str">
        <f t="shared" si="33"/>
        <v/>
      </c>
      <c r="X236" t="str">
        <f t="shared" si="34"/>
        <v/>
      </c>
      <c r="Y236" t="str">
        <f>IF(C236="","",IF(InventoryTable[[#This Row],[Stock Balance]]&lt;=0,"Sold Out",IF((InventoryTable[[#This Row],[Stock Balance]]/InventoryTable[[#This Row],[Total Pieces]])&lt;=0.25,"Low on Stocks","Available")))</f>
        <v/>
      </c>
    </row>
    <row r="237" spans="1:25" x14ac:dyDescent="0.3">
      <c r="A237" t="str">
        <f>IF(C237="","",_xlfn.CONCAT(LEFT(InventoryTable[[#This Row],[Category]],1),InventoryTable[[#This Row],[Product Pricing Type]],ROW()))</f>
        <v/>
      </c>
      <c r="H237" t="str">
        <f t="shared" si="37"/>
        <v/>
      </c>
      <c r="K237" t="str">
        <f t="shared" si="38"/>
        <v/>
      </c>
      <c r="N237" t="str">
        <f t="shared" si="39"/>
        <v/>
      </c>
      <c r="P237" t="str">
        <f t="shared" si="40"/>
        <v/>
      </c>
      <c r="Q237" s="4" t="str">
        <f t="shared" si="41"/>
        <v/>
      </c>
      <c r="R237" t="str">
        <f t="shared" si="42"/>
        <v/>
      </c>
      <c r="S237" t="str">
        <f t="shared" si="43"/>
        <v/>
      </c>
      <c r="T237" t="str">
        <f>IF(C237="","",InventoryTable[[#This Row],[Profit per Unit]]*InventoryTable[[#This Row],[Total Pieces]])</f>
        <v/>
      </c>
      <c r="U237" t="str">
        <f t="shared" si="35"/>
        <v/>
      </c>
      <c r="V237" t="str">
        <f>IF(C237="","",H237-InventoryTable[[#This Row],[Units Sold]])</f>
        <v/>
      </c>
      <c r="W237" t="str">
        <f t="shared" si="33"/>
        <v/>
      </c>
      <c r="X237" t="str">
        <f t="shared" si="34"/>
        <v/>
      </c>
      <c r="Y237" t="str">
        <f>IF(C237="","",IF(InventoryTable[[#This Row],[Stock Balance]]&lt;=0,"Sold Out",IF((InventoryTable[[#This Row],[Stock Balance]]/InventoryTable[[#This Row],[Total Pieces]])&lt;=0.25,"Low on Stocks","Available")))</f>
        <v/>
      </c>
    </row>
    <row r="238" spans="1:25" x14ac:dyDescent="0.3">
      <c r="A238" t="str">
        <f>IF(C238="","",_xlfn.CONCAT(LEFT(InventoryTable[[#This Row],[Category]],1),InventoryTable[[#This Row],[Product Pricing Type]],ROW()))</f>
        <v/>
      </c>
      <c r="H238" t="str">
        <f t="shared" si="37"/>
        <v/>
      </c>
      <c r="K238" t="str">
        <f t="shared" si="38"/>
        <v/>
      </c>
      <c r="N238" t="str">
        <f t="shared" si="39"/>
        <v/>
      </c>
      <c r="P238" t="str">
        <f t="shared" si="40"/>
        <v/>
      </c>
      <c r="Q238" s="4" t="str">
        <f t="shared" si="41"/>
        <v/>
      </c>
      <c r="R238" t="str">
        <f t="shared" si="42"/>
        <v/>
      </c>
      <c r="S238" t="str">
        <f t="shared" si="43"/>
        <v/>
      </c>
      <c r="T238" t="str">
        <f>IF(C238="","",InventoryTable[[#This Row],[Profit per Unit]]*InventoryTable[[#This Row],[Total Pieces]])</f>
        <v/>
      </c>
      <c r="U238" t="str">
        <f t="shared" si="35"/>
        <v/>
      </c>
      <c r="V238" t="str">
        <f>IF(C238="","",H238-InventoryTable[[#This Row],[Units Sold]])</f>
        <v/>
      </c>
      <c r="W238" t="str">
        <f t="shared" si="33"/>
        <v/>
      </c>
      <c r="X238" t="str">
        <f t="shared" si="34"/>
        <v/>
      </c>
      <c r="Y238" t="str">
        <f>IF(C238="","",IF(InventoryTable[[#This Row],[Stock Balance]]&lt;=0,"Sold Out",IF((InventoryTable[[#This Row],[Stock Balance]]/InventoryTable[[#This Row],[Total Pieces]])&lt;=0.25,"Low on Stocks","Available")))</f>
        <v/>
      </c>
    </row>
    <row r="239" spans="1:25" x14ac:dyDescent="0.3">
      <c r="A239" t="str">
        <f>IF(C239="","",_xlfn.CONCAT(LEFT(InventoryTable[[#This Row],[Category]],1),InventoryTable[[#This Row],[Product Pricing Type]],ROW()))</f>
        <v/>
      </c>
      <c r="H239" t="str">
        <f t="shared" si="37"/>
        <v/>
      </c>
      <c r="K239" t="str">
        <f t="shared" si="38"/>
        <v/>
      </c>
      <c r="N239" t="str">
        <f t="shared" si="39"/>
        <v/>
      </c>
      <c r="P239" t="str">
        <f t="shared" si="40"/>
        <v/>
      </c>
      <c r="Q239" s="4" t="str">
        <f t="shared" si="41"/>
        <v/>
      </c>
      <c r="R239" t="str">
        <f t="shared" si="42"/>
        <v/>
      </c>
      <c r="S239" t="str">
        <f t="shared" si="43"/>
        <v/>
      </c>
      <c r="T239" t="str">
        <f>IF(C239="","",InventoryTable[[#This Row],[Profit per Unit]]*InventoryTable[[#This Row],[Total Pieces]])</f>
        <v/>
      </c>
      <c r="U239" t="str">
        <f t="shared" si="35"/>
        <v/>
      </c>
      <c r="V239" t="str">
        <f>IF(C239="","",H239-InventoryTable[[#This Row],[Units Sold]])</f>
        <v/>
      </c>
      <c r="W239" t="str">
        <f t="shared" si="33"/>
        <v/>
      </c>
      <c r="X239" t="str">
        <f t="shared" si="34"/>
        <v/>
      </c>
      <c r="Y239" t="str">
        <f>IF(C239="","",IF(InventoryTable[[#This Row],[Stock Balance]]&lt;=0,"Sold Out",IF((InventoryTable[[#This Row],[Stock Balance]]/InventoryTable[[#This Row],[Total Pieces]])&lt;=0.25,"Low on Stocks","Available")))</f>
        <v/>
      </c>
    </row>
    <row r="240" spans="1:25" x14ac:dyDescent="0.3">
      <c r="A240" t="str">
        <f>IF(C240="","",_xlfn.CONCAT(LEFT(InventoryTable[[#This Row],[Category]],1),InventoryTable[[#This Row],[Product Pricing Type]],ROW()))</f>
        <v/>
      </c>
      <c r="H240" t="str">
        <f t="shared" si="37"/>
        <v/>
      </c>
      <c r="K240" t="str">
        <f t="shared" si="38"/>
        <v/>
      </c>
      <c r="N240" t="str">
        <f t="shared" si="39"/>
        <v/>
      </c>
      <c r="P240" t="str">
        <f t="shared" si="40"/>
        <v/>
      </c>
      <c r="Q240" s="4" t="str">
        <f t="shared" si="41"/>
        <v/>
      </c>
      <c r="R240" t="str">
        <f t="shared" si="42"/>
        <v/>
      </c>
      <c r="S240" t="str">
        <f t="shared" si="43"/>
        <v/>
      </c>
      <c r="T240" t="str">
        <f>IF(C240="","",InventoryTable[[#This Row],[Profit per Unit]]*InventoryTable[[#This Row],[Total Pieces]])</f>
        <v/>
      </c>
      <c r="U240" t="str">
        <f t="shared" si="35"/>
        <v/>
      </c>
      <c r="V240" t="str">
        <f>IF(C240="","",H240-InventoryTable[[#This Row],[Units Sold]])</f>
        <v/>
      </c>
      <c r="W240" t="str">
        <f t="shared" si="33"/>
        <v/>
      </c>
      <c r="X240" t="str">
        <f t="shared" si="34"/>
        <v/>
      </c>
      <c r="Y240" t="str">
        <f>IF(C240="","",IF(InventoryTable[[#This Row],[Stock Balance]]&lt;=0,"Sold Out",IF((InventoryTable[[#This Row],[Stock Balance]]/InventoryTable[[#This Row],[Total Pieces]])&lt;=0.25,"Low on Stocks","Available")))</f>
        <v/>
      </c>
    </row>
    <row r="241" spans="1:25" x14ac:dyDescent="0.3">
      <c r="A241" t="str">
        <f>IF(C241="","",_xlfn.CONCAT(LEFT(InventoryTable[[#This Row],[Category]],1),InventoryTable[[#This Row],[Product Pricing Type]],ROW()))</f>
        <v/>
      </c>
      <c r="H241" t="str">
        <f t="shared" si="37"/>
        <v/>
      </c>
      <c r="K241" t="str">
        <f t="shared" si="38"/>
        <v/>
      </c>
      <c r="N241" t="str">
        <f t="shared" si="39"/>
        <v/>
      </c>
      <c r="P241" t="str">
        <f t="shared" si="40"/>
        <v/>
      </c>
      <c r="Q241" s="4" t="str">
        <f t="shared" si="41"/>
        <v/>
      </c>
      <c r="R241" t="str">
        <f t="shared" si="42"/>
        <v/>
      </c>
      <c r="S241" t="str">
        <f t="shared" si="43"/>
        <v/>
      </c>
      <c r="T241" t="str">
        <f>IF(C241="","",InventoryTable[[#This Row],[Profit per Unit]]*InventoryTable[[#This Row],[Total Pieces]])</f>
        <v/>
      </c>
      <c r="U241" t="str">
        <f t="shared" si="35"/>
        <v/>
      </c>
      <c r="V241" t="str">
        <f>IF(C241="","",H241-InventoryTable[[#This Row],[Units Sold]])</f>
        <v/>
      </c>
      <c r="W241" t="str">
        <f t="shared" si="33"/>
        <v/>
      </c>
      <c r="X241" t="str">
        <f t="shared" si="34"/>
        <v/>
      </c>
      <c r="Y241" t="str">
        <f>IF(C241="","",IF(InventoryTable[[#This Row],[Stock Balance]]&lt;=0,"Sold Out",IF((InventoryTable[[#This Row],[Stock Balance]]/InventoryTable[[#This Row],[Total Pieces]])&lt;=0.25,"Low on Stocks","Available")))</f>
        <v/>
      </c>
    </row>
    <row r="242" spans="1:25" x14ac:dyDescent="0.3">
      <c r="A242" t="str">
        <f>IF(C242="","",_xlfn.CONCAT(LEFT(InventoryTable[[#This Row],[Category]],1),InventoryTable[[#This Row],[Product Pricing Type]],ROW()))</f>
        <v/>
      </c>
      <c r="H242" t="str">
        <f t="shared" si="37"/>
        <v/>
      </c>
      <c r="K242" t="str">
        <f t="shared" si="38"/>
        <v/>
      </c>
      <c r="N242" t="str">
        <f t="shared" si="39"/>
        <v/>
      </c>
      <c r="P242" t="str">
        <f t="shared" si="40"/>
        <v/>
      </c>
      <c r="Q242" s="4" t="str">
        <f t="shared" si="41"/>
        <v/>
      </c>
      <c r="R242" t="str">
        <f t="shared" si="42"/>
        <v/>
      </c>
      <c r="S242" t="str">
        <f t="shared" si="43"/>
        <v/>
      </c>
      <c r="T242" t="str">
        <f>IF(C242="","",InventoryTable[[#This Row],[Profit per Unit]]*InventoryTable[[#This Row],[Total Pieces]])</f>
        <v/>
      </c>
      <c r="U242" t="str">
        <f t="shared" si="35"/>
        <v/>
      </c>
      <c r="V242" t="str">
        <f>IF(C242="","",H242-InventoryTable[[#This Row],[Units Sold]])</f>
        <v/>
      </c>
      <c r="W242" t="str">
        <f t="shared" si="33"/>
        <v/>
      </c>
      <c r="X242" t="str">
        <f t="shared" si="34"/>
        <v/>
      </c>
      <c r="Y242" t="str">
        <f>IF(C242="","",IF(InventoryTable[[#This Row],[Stock Balance]]&lt;=0,"Sold Out",IF((InventoryTable[[#This Row],[Stock Balance]]/InventoryTable[[#This Row],[Total Pieces]])&lt;=0.25,"Low on Stocks","Available")))</f>
        <v/>
      </c>
    </row>
    <row r="243" spans="1:25" x14ac:dyDescent="0.3">
      <c r="A243" t="str">
        <f>IF(C243="","",_xlfn.CONCAT(LEFT(InventoryTable[[#This Row],[Category]],1),InventoryTable[[#This Row],[Product Pricing Type]],ROW()))</f>
        <v/>
      </c>
      <c r="H243" t="str">
        <f t="shared" si="37"/>
        <v/>
      </c>
      <c r="K243" t="str">
        <f t="shared" si="38"/>
        <v/>
      </c>
      <c r="N243" t="str">
        <f t="shared" si="39"/>
        <v/>
      </c>
      <c r="P243" t="str">
        <f t="shared" si="40"/>
        <v/>
      </c>
      <c r="Q243" s="4" t="str">
        <f t="shared" si="41"/>
        <v/>
      </c>
      <c r="R243" t="str">
        <f t="shared" si="42"/>
        <v/>
      </c>
      <c r="S243" t="str">
        <f t="shared" si="43"/>
        <v/>
      </c>
      <c r="T243" t="str">
        <f>IF(C243="","",InventoryTable[[#This Row],[Profit per Unit]]*InventoryTable[[#This Row],[Total Pieces]])</f>
        <v/>
      </c>
      <c r="U243" t="str">
        <f t="shared" si="35"/>
        <v/>
      </c>
      <c r="V243" t="str">
        <f>IF(C243="","",H243-InventoryTable[[#This Row],[Units Sold]])</f>
        <v/>
      </c>
      <c r="W243" t="str">
        <f t="shared" si="33"/>
        <v/>
      </c>
      <c r="X243" t="str">
        <f t="shared" si="34"/>
        <v/>
      </c>
      <c r="Y243" t="str">
        <f>IF(C243="","",IF(InventoryTable[[#This Row],[Stock Balance]]&lt;=0,"Sold Out",IF((InventoryTable[[#This Row],[Stock Balance]]/InventoryTable[[#This Row],[Total Pieces]])&lt;=0.25,"Low on Stocks","Available")))</f>
        <v/>
      </c>
    </row>
    <row r="244" spans="1:25" x14ac:dyDescent="0.3">
      <c r="A244" t="str">
        <f>IF(C244="","",_xlfn.CONCAT(LEFT(InventoryTable[[#This Row],[Category]],1),InventoryTable[[#This Row],[Product Pricing Type]],ROW()))</f>
        <v/>
      </c>
      <c r="H244" t="str">
        <f t="shared" si="37"/>
        <v/>
      </c>
      <c r="K244" t="str">
        <f t="shared" si="38"/>
        <v/>
      </c>
      <c r="N244" t="str">
        <f t="shared" si="39"/>
        <v/>
      </c>
      <c r="P244" t="str">
        <f t="shared" si="40"/>
        <v/>
      </c>
      <c r="Q244" s="4" t="str">
        <f t="shared" si="41"/>
        <v/>
      </c>
      <c r="R244" t="str">
        <f t="shared" si="42"/>
        <v/>
      </c>
      <c r="S244" t="str">
        <f t="shared" si="43"/>
        <v/>
      </c>
      <c r="T244" t="str">
        <f>IF(C244="","",InventoryTable[[#This Row],[Profit per Unit]]*InventoryTable[[#This Row],[Total Pieces]])</f>
        <v/>
      </c>
      <c r="U244" t="str">
        <f t="shared" si="35"/>
        <v/>
      </c>
      <c r="V244" t="str">
        <f>IF(C244="","",H244-InventoryTable[[#This Row],[Units Sold]])</f>
        <v/>
      </c>
      <c r="W244" t="str">
        <f t="shared" si="33"/>
        <v/>
      </c>
      <c r="X244" t="str">
        <f t="shared" si="34"/>
        <v/>
      </c>
      <c r="Y244" t="str">
        <f>IF(C244="","",IF(InventoryTable[[#This Row],[Stock Balance]]&lt;=0,"Sold Out",IF((InventoryTable[[#This Row],[Stock Balance]]/InventoryTable[[#This Row],[Total Pieces]])&lt;=0.25,"Low on Stocks","Available")))</f>
        <v/>
      </c>
    </row>
    <row r="245" spans="1:25" x14ac:dyDescent="0.3">
      <c r="A245" t="str">
        <f>IF(C245="","",_xlfn.CONCAT(LEFT(InventoryTable[[#This Row],[Category]],1),InventoryTable[[#This Row],[Product Pricing Type]],ROW()))</f>
        <v/>
      </c>
      <c r="H245" t="str">
        <f t="shared" si="37"/>
        <v/>
      </c>
      <c r="K245" t="str">
        <f t="shared" si="38"/>
        <v/>
      </c>
      <c r="N245" t="str">
        <f t="shared" si="39"/>
        <v/>
      </c>
      <c r="P245" t="str">
        <f t="shared" si="40"/>
        <v/>
      </c>
      <c r="Q245" s="4" t="str">
        <f t="shared" si="41"/>
        <v/>
      </c>
      <c r="R245" t="str">
        <f t="shared" si="42"/>
        <v/>
      </c>
      <c r="S245" t="str">
        <f t="shared" si="43"/>
        <v/>
      </c>
      <c r="T245" t="str">
        <f>IF(C245="","",InventoryTable[[#This Row],[Profit per Unit]]*InventoryTable[[#This Row],[Total Pieces]])</f>
        <v/>
      </c>
      <c r="U245" t="str">
        <f t="shared" si="35"/>
        <v/>
      </c>
      <c r="V245" t="str">
        <f>IF(C245="","",H245-InventoryTable[[#This Row],[Units Sold]])</f>
        <v/>
      </c>
      <c r="W245" t="str">
        <f t="shared" si="33"/>
        <v/>
      </c>
      <c r="X245" t="str">
        <f t="shared" si="34"/>
        <v/>
      </c>
      <c r="Y245" t="str">
        <f>IF(C245="","",IF(InventoryTable[[#This Row],[Stock Balance]]&lt;=0,"Sold Out",IF((InventoryTable[[#This Row],[Stock Balance]]/InventoryTable[[#This Row],[Total Pieces]])&lt;=0.25,"Low on Stocks","Available")))</f>
        <v/>
      </c>
    </row>
    <row r="246" spans="1:25" x14ac:dyDescent="0.3">
      <c r="A246" t="str">
        <f>IF(C246="","",_xlfn.CONCAT(LEFT(InventoryTable[[#This Row],[Category]],1),InventoryTable[[#This Row],[Product Pricing Type]],ROW()))</f>
        <v/>
      </c>
      <c r="H246" t="str">
        <f t="shared" si="37"/>
        <v/>
      </c>
      <c r="K246" t="str">
        <f t="shared" si="38"/>
        <v/>
      </c>
      <c r="N246" t="str">
        <f t="shared" si="39"/>
        <v/>
      </c>
      <c r="P246" t="str">
        <f t="shared" si="40"/>
        <v/>
      </c>
      <c r="Q246" s="4" t="str">
        <f t="shared" si="41"/>
        <v/>
      </c>
      <c r="R246" t="str">
        <f t="shared" si="42"/>
        <v/>
      </c>
      <c r="S246" t="str">
        <f t="shared" si="43"/>
        <v/>
      </c>
      <c r="T246" t="str">
        <f>IF(C246="","",InventoryTable[[#This Row],[Profit per Unit]]*InventoryTable[[#This Row],[Total Pieces]])</f>
        <v/>
      </c>
      <c r="U246" t="str">
        <f t="shared" si="35"/>
        <v/>
      </c>
      <c r="V246" t="str">
        <f>IF(C246="","",H246-InventoryTable[[#This Row],[Units Sold]])</f>
        <v/>
      </c>
      <c r="W246" t="str">
        <f t="shared" si="33"/>
        <v/>
      </c>
      <c r="X246" t="str">
        <f t="shared" si="34"/>
        <v/>
      </c>
      <c r="Y246" t="str">
        <f>IF(C246="","",IF(InventoryTable[[#This Row],[Stock Balance]]&lt;=0,"Sold Out",IF((InventoryTable[[#This Row],[Stock Balance]]/InventoryTable[[#This Row],[Total Pieces]])&lt;=0.25,"Low on Stocks","Available")))</f>
        <v/>
      </c>
    </row>
    <row r="247" spans="1:25" x14ac:dyDescent="0.3">
      <c r="A247" t="str">
        <f>IF(C247="","",_xlfn.CONCAT(LEFT(InventoryTable[[#This Row],[Category]],1),InventoryTable[[#This Row],[Product Pricing Type]],ROW()))</f>
        <v/>
      </c>
      <c r="H247" t="str">
        <f t="shared" si="37"/>
        <v/>
      </c>
      <c r="K247" t="str">
        <f t="shared" si="38"/>
        <v/>
      </c>
      <c r="N247" t="str">
        <f t="shared" si="39"/>
        <v/>
      </c>
      <c r="P247" t="str">
        <f t="shared" si="40"/>
        <v/>
      </c>
      <c r="Q247" s="4" t="str">
        <f t="shared" si="41"/>
        <v/>
      </c>
      <c r="R247" t="str">
        <f t="shared" si="42"/>
        <v/>
      </c>
      <c r="S247" t="str">
        <f t="shared" si="43"/>
        <v/>
      </c>
      <c r="T247" t="str">
        <f>IF(C247="","",InventoryTable[[#This Row],[Profit per Unit]]*InventoryTable[[#This Row],[Total Pieces]])</f>
        <v/>
      </c>
      <c r="U247" t="str">
        <f t="shared" si="35"/>
        <v/>
      </c>
      <c r="V247" t="str">
        <f>IF(C247="","",H247-InventoryTable[[#This Row],[Units Sold]])</f>
        <v/>
      </c>
      <c r="W247" t="str">
        <f t="shared" si="33"/>
        <v/>
      </c>
      <c r="X247" t="str">
        <f t="shared" si="34"/>
        <v/>
      </c>
      <c r="Y247" t="str">
        <f>IF(C247="","",IF(InventoryTable[[#This Row],[Stock Balance]]&lt;=0,"Sold Out",IF((InventoryTable[[#This Row],[Stock Balance]]/InventoryTable[[#This Row],[Total Pieces]])&lt;=0.25,"Low on Stocks","Available")))</f>
        <v/>
      </c>
    </row>
    <row r="248" spans="1:25" x14ac:dyDescent="0.3">
      <c r="A248" t="str">
        <f>IF(C248="","",_xlfn.CONCAT(LEFT(InventoryTable[[#This Row],[Category]],1),InventoryTable[[#This Row],[Product Pricing Type]],ROW()))</f>
        <v/>
      </c>
      <c r="H248" t="str">
        <f t="shared" si="37"/>
        <v/>
      </c>
      <c r="K248" t="str">
        <f t="shared" si="38"/>
        <v/>
      </c>
      <c r="N248" t="str">
        <f t="shared" si="39"/>
        <v/>
      </c>
      <c r="P248" t="str">
        <f t="shared" si="40"/>
        <v/>
      </c>
      <c r="Q248" s="4" t="str">
        <f t="shared" si="41"/>
        <v/>
      </c>
      <c r="R248" t="str">
        <f t="shared" si="42"/>
        <v/>
      </c>
      <c r="S248" t="str">
        <f t="shared" si="43"/>
        <v/>
      </c>
      <c r="T248" t="str">
        <f>IF(C248="","",InventoryTable[[#This Row],[Profit per Unit]]*InventoryTable[[#This Row],[Total Pieces]])</f>
        <v/>
      </c>
      <c r="U248" t="str">
        <f t="shared" si="35"/>
        <v/>
      </c>
      <c r="V248" t="str">
        <f>IF(C248="","",H248-InventoryTable[[#This Row],[Units Sold]])</f>
        <v/>
      </c>
      <c r="W248" t="str">
        <f t="shared" si="33"/>
        <v/>
      </c>
      <c r="X248" t="str">
        <f t="shared" si="34"/>
        <v/>
      </c>
      <c r="Y248" t="str">
        <f>IF(C248="","",IF(InventoryTable[[#This Row],[Stock Balance]]&lt;=0,"Sold Out",IF((InventoryTable[[#This Row],[Stock Balance]]/InventoryTable[[#This Row],[Total Pieces]])&lt;=0.25,"Low on Stocks","Available")))</f>
        <v/>
      </c>
    </row>
    <row r="249" spans="1:25" x14ac:dyDescent="0.3">
      <c r="A249" t="str">
        <f>IF(C249="","",_xlfn.CONCAT(LEFT(InventoryTable[[#This Row],[Category]],1),InventoryTable[[#This Row],[Product Pricing Type]],ROW()))</f>
        <v/>
      </c>
      <c r="H249" t="str">
        <f t="shared" si="37"/>
        <v/>
      </c>
      <c r="K249" t="str">
        <f t="shared" si="38"/>
        <v/>
      </c>
      <c r="N249" t="str">
        <f t="shared" si="39"/>
        <v/>
      </c>
      <c r="P249" t="str">
        <f t="shared" si="40"/>
        <v/>
      </c>
      <c r="Q249" s="4" t="str">
        <f t="shared" si="41"/>
        <v/>
      </c>
      <c r="R249" t="str">
        <f t="shared" si="42"/>
        <v/>
      </c>
      <c r="S249" t="str">
        <f t="shared" si="43"/>
        <v/>
      </c>
      <c r="T249" t="str">
        <f>IF(C249="","",InventoryTable[[#This Row],[Profit per Unit]]*InventoryTable[[#This Row],[Total Pieces]])</f>
        <v/>
      </c>
      <c r="U249" t="str">
        <f t="shared" si="35"/>
        <v/>
      </c>
      <c r="V249" t="str">
        <f>IF(C249="","",H249-InventoryTable[[#This Row],[Units Sold]])</f>
        <v/>
      </c>
      <c r="W249" t="str">
        <f t="shared" si="33"/>
        <v/>
      </c>
      <c r="X249" t="str">
        <f t="shared" si="34"/>
        <v/>
      </c>
      <c r="Y249" t="str">
        <f>IF(C249="","",IF(InventoryTable[[#This Row],[Stock Balance]]&lt;=0,"Sold Out",IF((InventoryTable[[#This Row],[Stock Balance]]/InventoryTable[[#This Row],[Total Pieces]])&lt;=0.25,"Low on Stocks","Available")))</f>
        <v/>
      </c>
    </row>
    <row r="250" spans="1:25" x14ac:dyDescent="0.3">
      <c r="A250" t="str">
        <f>IF(C250="","",_xlfn.CONCAT(LEFT(InventoryTable[[#This Row],[Category]],1),InventoryTable[[#This Row],[Product Pricing Type]],ROW()))</f>
        <v/>
      </c>
      <c r="H250" t="str">
        <f t="shared" si="37"/>
        <v/>
      </c>
      <c r="K250" t="str">
        <f t="shared" si="38"/>
        <v/>
      </c>
      <c r="N250" t="str">
        <f t="shared" si="39"/>
        <v/>
      </c>
      <c r="P250" t="str">
        <f t="shared" si="40"/>
        <v/>
      </c>
      <c r="Q250" s="4" t="str">
        <f t="shared" si="41"/>
        <v/>
      </c>
      <c r="R250" t="str">
        <f t="shared" si="42"/>
        <v/>
      </c>
      <c r="S250" t="str">
        <f t="shared" si="43"/>
        <v/>
      </c>
      <c r="T250" t="str">
        <f>IF(C250="","",InventoryTable[[#This Row],[Profit per Unit]]*InventoryTable[[#This Row],[Total Pieces]])</f>
        <v/>
      </c>
      <c r="U250" t="str">
        <f t="shared" si="35"/>
        <v/>
      </c>
      <c r="V250" t="str">
        <f>IF(C250="","",H250-InventoryTable[[#This Row],[Units Sold]])</f>
        <v/>
      </c>
      <c r="W250" t="str">
        <f t="shared" si="33"/>
        <v/>
      </c>
      <c r="X250" t="str">
        <f t="shared" si="34"/>
        <v/>
      </c>
      <c r="Y250" t="str">
        <f>IF(C250="","",IF(InventoryTable[[#This Row],[Stock Balance]]&lt;=0,"Sold Out",IF((InventoryTable[[#This Row],[Stock Balance]]/InventoryTable[[#This Row],[Total Pieces]])&lt;=0.25,"Low on Stocks","Available")))</f>
        <v/>
      </c>
    </row>
    <row r="251" spans="1:25" x14ac:dyDescent="0.3">
      <c r="A251" t="str">
        <f>IF(C251="","",_xlfn.CONCAT(LEFT(InventoryTable[[#This Row],[Category]],1),InventoryTable[[#This Row],[Product Pricing Type]],ROW()))</f>
        <v/>
      </c>
      <c r="H251" t="str">
        <f t="shared" si="37"/>
        <v/>
      </c>
      <c r="K251" t="str">
        <f t="shared" si="38"/>
        <v/>
      </c>
      <c r="N251" t="str">
        <f t="shared" si="39"/>
        <v/>
      </c>
      <c r="P251" t="str">
        <f t="shared" si="40"/>
        <v/>
      </c>
      <c r="Q251" s="4" t="str">
        <f t="shared" si="41"/>
        <v/>
      </c>
      <c r="R251" t="str">
        <f t="shared" si="42"/>
        <v/>
      </c>
      <c r="S251" t="str">
        <f t="shared" si="43"/>
        <v/>
      </c>
      <c r="T251" t="str">
        <f>IF(C251="","",InventoryTable[[#This Row],[Profit per Unit]]*InventoryTable[[#This Row],[Total Pieces]])</f>
        <v/>
      </c>
      <c r="U251" t="str">
        <f t="shared" si="35"/>
        <v/>
      </c>
      <c r="V251" t="str">
        <f>IF(C251="","",H251-InventoryTable[[#This Row],[Units Sold]])</f>
        <v/>
      </c>
      <c r="W251" t="str">
        <f t="shared" si="33"/>
        <v/>
      </c>
      <c r="X251" t="str">
        <f t="shared" si="34"/>
        <v/>
      </c>
      <c r="Y251" t="str">
        <f>IF(C251="","",IF(InventoryTable[[#This Row],[Stock Balance]]&lt;=0,"Sold Out",IF((InventoryTable[[#This Row],[Stock Balance]]/InventoryTable[[#This Row],[Total Pieces]])&lt;=0.25,"Low on Stocks","Available")))</f>
        <v/>
      </c>
    </row>
    <row r="252" spans="1:25" x14ac:dyDescent="0.3">
      <c r="A252" t="str">
        <f>IF(C252="","",_xlfn.CONCAT(LEFT(InventoryTable[[#This Row],[Category]],1),InventoryTable[[#This Row],[Product Pricing Type]],ROW()))</f>
        <v/>
      </c>
      <c r="H252" t="str">
        <f t="shared" si="37"/>
        <v/>
      </c>
      <c r="K252" t="str">
        <f t="shared" si="38"/>
        <v/>
      </c>
      <c r="N252" t="str">
        <f t="shared" si="39"/>
        <v/>
      </c>
      <c r="P252" t="str">
        <f t="shared" si="40"/>
        <v/>
      </c>
      <c r="Q252" s="4" t="str">
        <f t="shared" si="41"/>
        <v/>
      </c>
      <c r="R252" t="str">
        <f t="shared" si="42"/>
        <v/>
      </c>
      <c r="S252" t="str">
        <f t="shared" si="43"/>
        <v/>
      </c>
      <c r="T252" t="str">
        <f>IF(C252="","",InventoryTable[[#This Row],[Profit per Unit]]*InventoryTable[[#This Row],[Total Pieces]])</f>
        <v/>
      </c>
      <c r="U252" t="str">
        <f t="shared" si="35"/>
        <v/>
      </c>
      <c r="V252" t="str">
        <f>IF(C252="","",H252-InventoryTable[[#This Row],[Units Sold]])</f>
        <v/>
      </c>
      <c r="W252" t="str">
        <f t="shared" si="33"/>
        <v/>
      </c>
      <c r="X252" t="str">
        <f t="shared" si="34"/>
        <v/>
      </c>
      <c r="Y252" t="str">
        <f>IF(C252="","",IF(InventoryTable[[#This Row],[Stock Balance]]&lt;=0,"Sold Out",IF((InventoryTable[[#This Row],[Stock Balance]]/InventoryTable[[#This Row],[Total Pieces]])&lt;=0.25,"Low on Stocks","Available")))</f>
        <v/>
      </c>
    </row>
    <row r="253" spans="1:25" x14ac:dyDescent="0.3">
      <c r="A253" t="str">
        <f>IF(C253="","",_xlfn.CONCAT(LEFT(InventoryTable[[#This Row],[Category]],1),InventoryTable[[#This Row],[Product Pricing Type]],ROW()))</f>
        <v/>
      </c>
      <c r="H253" t="str">
        <f t="shared" si="37"/>
        <v/>
      </c>
      <c r="K253" t="str">
        <f t="shared" si="38"/>
        <v/>
      </c>
      <c r="N253" t="str">
        <f t="shared" si="39"/>
        <v/>
      </c>
      <c r="P253" t="str">
        <f t="shared" si="40"/>
        <v/>
      </c>
      <c r="Q253" s="4" t="str">
        <f t="shared" si="41"/>
        <v/>
      </c>
      <c r="R253" t="str">
        <f t="shared" si="42"/>
        <v/>
      </c>
      <c r="S253" t="str">
        <f t="shared" si="43"/>
        <v/>
      </c>
      <c r="T253" t="str">
        <f>IF(C253="","",InventoryTable[[#This Row],[Profit per Unit]]*InventoryTable[[#This Row],[Total Pieces]])</f>
        <v/>
      </c>
      <c r="U253" t="str">
        <f t="shared" ref="U253:U316" si="44">IF(C253="","",0)</f>
        <v/>
      </c>
      <c r="V253" t="str">
        <f>IF(C253="","",H253-InventoryTable[[#This Row],[Units Sold]])</f>
        <v/>
      </c>
      <c r="W253" t="str">
        <f t="shared" ref="W253:W316" si="45">IF(C253="","",Q253*U253)</f>
        <v/>
      </c>
      <c r="X253" t="str">
        <f t="shared" ref="X253:X316" si="46">IF(C253="","",S253*U253)</f>
        <v/>
      </c>
      <c r="Y253" t="str">
        <f>IF(C253="","",IF(InventoryTable[[#This Row],[Stock Balance]]&lt;=0,"Sold Out",IF((InventoryTable[[#This Row],[Stock Balance]]/InventoryTable[[#This Row],[Total Pieces]])&lt;=0.25,"Low on Stocks","Available")))</f>
        <v/>
      </c>
    </row>
    <row r="254" spans="1:25" x14ac:dyDescent="0.3">
      <c r="A254" t="str">
        <f>IF(C254="","",_xlfn.CONCAT(LEFT(InventoryTable[[#This Row],[Category]],1),InventoryTable[[#This Row],[Product Pricing Type]],ROW()))</f>
        <v/>
      </c>
      <c r="H254" t="str">
        <f t="shared" si="37"/>
        <v/>
      </c>
      <c r="K254" t="str">
        <f t="shared" si="38"/>
        <v/>
      </c>
      <c r="N254" t="str">
        <f t="shared" si="39"/>
        <v/>
      </c>
      <c r="P254" t="str">
        <f t="shared" si="40"/>
        <v/>
      </c>
      <c r="Q254" s="4" t="str">
        <f t="shared" si="41"/>
        <v/>
      </c>
      <c r="R254" t="str">
        <f t="shared" si="42"/>
        <v/>
      </c>
      <c r="S254" t="str">
        <f t="shared" si="43"/>
        <v/>
      </c>
      <c r="T254" t="str">
        <f>IF(C254="","",InventoryTable[[#This Row],[Profit per Unit]]*InventoryTable[[#This Row],[Total Pieces]])</f>
        <v/>
      </c>
      <c r="U254" t="str">
        <f t="shared" si="44"/>
        <v/>
      </c>
      <c r="V254" t="str">
        <f>IF(C254="","",H254-InventoryTable[[#This Row],[Units Sold]])</f>
        <v/>
      </c>
      <c r="W254" t="str">
        <f t="shared" si="45"/>
        <v/>
      </c>
      <c r="X254" t="str">
        <f t="shared" si="46"/>
        <v/>
      </c>
      <c r="Y254" t="str">
        <f>IF(C254="","",IF(InventoryTable[[#This Row],[Stock Balance]]&lt;=0,"Sold Out",IF((InventoryTable[[#This Row],[Stock Balance]]/InventoryTable[[#This Row],[Total Pieces]])&lt;=0.25,"Low on Stocks","Available")))</f>
        <v/>
      </c>
    </row>
    <row r="255" spans="1:25" x14ac:dyDescent="0.3">
      <c r="A255" t="str">
        <f>IF(C255="","",_xlfn.CONCAT(LEFT(InventoryTable[[#This Row],[Category]],1),InventoryTable[[#This Row],[Product Pricing Type]],ROW()))</f>
        <v/>
      </c>
      <c r="H255" t="str">
        <f t="shared" si="37"/>
        <v/>
      </c>
      <c r="K255" t="str">
        <f t="shared" si="38"/>
        <v/>
      </c>
      <c r="N255" t="str">
        <f t="shared" si="39"/>
        <v/>
      </c>
      <c r="P255" t="str">
        <f t="shared" si="40"/>
        <v/>
      </c>
      <c r="Q255" s="4" t="str">
        <f t="shared" si="41"/>
        <v/>
      </c>
      <c r="R255" t="str">
        <f t="shared" si="42"/>
        <v/>
      </c>
      <c r="S255" t="str">
        <f t="shared" si="43"/>
        <v/>
      </c>
      <c r="T255" t="str">
        <f>IF(C255="","",InventoryTable[[#This Row],[Profit per Unit]]*InventoryTable[[#This Row],[Total Pieces]])</f>
        <v/>
      </c>
      <c r="U255" t="str">
        <f t="shared" si="44"/>
        <v/>
      </c>
      <c r="V255" t="str">
        <f>IF(C255="","",H255-InventoryTable[[#This Row],[Units Sold]])</f>
        <v/>
      </c>
      <c r="W255" t="str">
        <f t="shared" si="45"/>
        <v/>
      </c>
      <c r="X255" t="str">
        <f t="shared" si="46"/>
        <v/>
      </c>
      <c r="Y255" t="str">
        <f>IF(C255="","",IF(InventoryTable[[#This Row],[Stock Balance]]&lt;=0,"Sold Out",IF((InventoryTable[[#This Row],[Stock Balance]]/InventoryTable[[#This Row],[Total Pieces]])&lt;=0.25,"Low on Stocks","Available")))</f>
        <v/>
      </c>
    </row>
    <row r="256" spans="1:25" x14ac:dyDescent="0.3">
      <c r="A256" t="str">
        <f>IF(C256="","",_xlfn.CONCAT(LEFT(InventoryTable[[#This Row],[Category]],1),InventoryTable[[#This Row],[Product Pricing Type]],ROW()))</f>
        <v/>
      </c>
      <c r="H256" t="str">
        <f t="shared" si="37"/>
        <v/>
      </c>
      <c r="K256" t="str">
        <f t="shared" si="38"/>
        <v/>
      </c>
      <c r="N256" t="str">
        <f t="shared" si="39"/>
        <v/>
      </c>
      <c r="P256" t="str">
        <f t="shared" si="40"/>
        <v/>
      </c>
      <c r="Q256" s="4" t="str">
        <f t="shared" si="41"/>
        <v/>
      </c>
      <c r="R256" t="str">
        <f t="shared" si="42"/>
        <v/>
      </c>
      <c r="S256" t="str">
        <f t="shared" si="43"/>
        <v/>
      </c>
      <c r="T256" t="str">
        <f>IF(C256="","",InventoryTable[[#This Row],[Profit per Unit]]*InventoryTable[[#This Row],[Total Pieces]])</f>
        <v/>
      </c>
      <c r="U256" t="str">
        <f t="shared" si="44"/>
        <v/>
      </c>
      <c r="V256" t="str">
        <f>IF(C256="","",H256-InventoryTable[[#This Row],[Units Sold]])</f>
        <v/>
      </c>
      <c r="W256" t="str">
        <f t="shared" si="45"/>
        <v/>
      </c>
      <c r="X256" t="str">
        <f t="shared" si="46"/>
        <v/>
      </c>
      <c r="Y256" t="str">
        <f>IF(C256="","",IF(InventoryTable[[#This Row],[Stock Balance]]&lt;=0,"Sold Out",IF((InventoryTable[[#This Row],[Stock Balance]]/InventoryTable[[#This Row],[Total Pieces]])&lt;=0.25,"Low on Stocks","Available")))</f>
        <v/>
      </c>
    </row>
    <row r="257" spans="1:25" x14ac:dyDescent="0.3">
      <c r="A257" t="str">
        <f>IF(C257="","",_xlfn.CONCAT(LEFT(InventoryTable[[#This Row],[Category]],1),InventoryTable[[#This Row],[Product Pricing Type]],ROW()))</f>
        <v/>
      </c>
      <c r="H257" t="str">
        <f t="shared" si="37"/>
        <v/>
      </c>
      <c r="K257" t="str">
        <f t="shared" si="38"/>
        <v/>
      </c>
      <c r="N257" t="str">
        <f t="shared" si="39"/>
        <v/>
      </c>
      <c r="P257" t="str">
        <f t="shared" si="40"/>
        <v/>
      </c>
      <c r="Q257" s="4" t="str">
        <f t="shared" si="41"/>
        <v/>
      </c>
      <c r="R257" t="str">
        <f t="shared" si="42"/>
        <v/>
      </c>
      <c r="S257" t="str">
        <f t="shared" si="43"/>
        <v/>
      </c>
      <c r="T257" t="str">
        <f>IF(C257="","",InventoryTable[[#This Row],[Profit per Unit]]*InventoryTable[[#This Row],[Total Pieces]])</f>
        <v/>
      </c>
      <c r="U257" t="str">
        <f t="shared" si="44"/>
        <v/>
      </c>
      <c r="V257" t="str">
        <f>IF(C257="","",H257-InventoryTable[[#This Row],[Units Sold]])</f>
        <v/>
      </c>
      <c r="W257" t="str">
        <f t="shared" si="45"/>
        <v/>
      </c>
      <c r="X257" t="str">
        <f t="shared" si="46"/>
        <v/>
      </c>
      <c r="Y257" t="str">
        <f>IF(C257="","",IF(InventoryTable[[#This Row],[Stock Balance]]&lt;=0,"Sold Out",IF((InventoryTable[[#This Row],[Stock Balance]]/InventoryTable[[#This Row],[Total Pieces]])&lt;=0.25,"Low on Stocks","Available")))</f>
        <v/>
      </c>
    </row>
    <row r="258" spans="1:25" x14ac:dyDescent="0.3">
      <c r="A258" t="str">
        <f>IF(C258="","",_xlfn.CONCAT(LEFT(InventoryTable[[#This Row],[Category]],1),InventoryTable[[#This Row],[Product Pricing Type]],ROW()))</f>
        <v/>
      </c>
      <c r="H258" t="str">
        <f t="shared" si="37"/>
        <v/>
      </c>
      <c r="K258" t="str">
        <f t="shared" si="38"/>
        <v/>
      </c>
      <c r="N258" t="str">
        <f t="shared" si="39"/>
        <v/>
      </c>
      <c r="P258" t="str">
        <f t="shared" si="40"/>
        <v/>
      </c>
      <c r="Q258" s="4" t="str">
        <f t="shared" si="41"/>
        <v/>
      </c>
      <c r="R258" t="str">
        <f t="shared" si="42"/>
        <v/>
      </c>
      <c r="S258" t="str">
        <f t="shared" si="43"/>
        <v/>
      </c>
      <c r="T258" t="str">
        <f>IF(C258="","",InventoryTable[[#This Row],[Profit per Unit]]*InventoryTable[[#This Row],[Total Pieces]])</f>
        <v/>
      </c>
      <c r="U258" t="str">
        <f t="shared" si="44"/>
        <v/>
      </c>
      <c r="V258" t="str">
        <f>IF(C258="","",H258-InventoryTable[[#This Row],[Units Sold]])</f>
        <v/>
      </c>
      <c r="W258" t="str">
        <f t="shared" si="45"/>
        <v/>
      </c>
      <c r="X258" t="str">
        <f t="shared" si="46"/>
        <v/>
      </c>
      <c r="Y258" t="str">
        <f>IF(C258="","",IF(InventoryTable[[#This Row],[Stock Balance]]&lt;=0,"Sold Out",IF((InventoryTable[[#This Row],[Stock Balance]]/InventoryTable[[#This Row],[Total Pieces]])&lt;=0.25,"Low on Stocks","Available")))</f>
        <v/>
      </c>
    </row>
    <row r="259" spans="1:25" x14ac:dyDescent="0.3">
      <c r="A259" t="str">
        <f>IF(C259="","",_xlfn.CONCAT(LEFT(InventoryTable[[#This Row],[Category]],1),InventoryTable[[#This Row],[Product Pricing Type]],ROW()))</f>
        <v/>
      </c>
      <c r="H259" t="str">
        <f t="shared" si="37"/>
        <v/>
      </c>
      <c r="K259" t="str">
        <f t="shared" si="38"/>
        <v/>
      </c>
      <c r="N259" t="str">
        <f t="shared" si="39"/>
        <v/>
      </c>
      <c r="P259" t="str">
        <f t="shared" si="40"/>
        <v/>
      </c>
      <c r="Q259" s="4" t="str">
        <f t="shared" si="41"/>
        <v/>
      </c>
      <c r="R259" t="str">
        <f t="shared" si="42"/>
        <v/>
      </c>
      <c r="S259" t="str">
        <f t="shared" si="43"/>
        <v/>
      </c>
      <c r="T259" t="str">
        <f>IF(C259="","",InventoryTable[[#This Row],[Profit per Unit]]*InventoryTable[[#This Row],[Total Pieces]])</f>
        <v/>
      </c>
      <c r="U259" t="str">
        <f t="shared" si="44"/>
        <v/>
      </c>
      <c r="V259" t="str">
        <f>IF(C259="","",H259-InventoryTable[[#This Row],[Units Sold]])</f>
        <v/>
      </c>
      <c r="W259" t="str">
        <f t="shared" si="45"/>
        <v/>
      </c>
      <c r="X259" t="str">
        <f t="shared" si="46"/>
        <v/>
      </c>
      <c r="Y259" t="str">
        <f>IF(C259="","",IF(InventoryTable[[#This Row],[Stock Balance]]&lt;=0,"Sold Out",IF((InventoryTable[[#This Row],[Stock Balance]]/InventoryTable[[#This Row],[Total Pieces]])&lt;=0.25,"Low on Stocks","Available")))</f>
        <v/>
      </c>
    </row>
    <row r="260" spans="1:25" x14ac:dyDescent="0.3">
      <c r="A260" t="str">
        <f>IF(C260="","",_xlfn.CONCAT(LEFT(InventoryTable[[#This Row],[Category]],1),InventoryTable[[#This Row],[Product Pricing Type]],ROW()))</f>
        <v/>
      </c>
      <c r="H260" t="str">
        <f t="shared" si="37"/>
        <v/>
      </c>
      <c r="K260" t="str">
        <f t="shared" si="38"/>
        <v/>
      </c>
      <c r="N260" t="str">
        <f t="shared" si="39"/>
        <v/>
      </c>
      <c r="P260" t="str">
        <f t="shared" si="40"/>
        <v/>
      </c>
      <c r="Q260" s="4" t="str">
        <f t="shared" si="41"/>
        <v/>
      </c>
      <c r="R260" t="str">
        <f t="shared" si="42"/>
        <v/>
      </c>
      <c r="S260" t="str">
        <f t="shared" si="43"/>
        <v/>
      </c>
      <c r="T260" t="str">
        <f>IF(C260="","",InventoryTable[[#This Row],[Profit per Unit]]*InventoryTable[[#This Row],[Total Pieces]])</f>
        <v/>
      </c>
      <c r="U260" t="str">
        <f t="shared" si="44"/>
        <v/>
      </c>
      <c r="V260" t="str">
        <f>IF(C260="","",H260-InventoryTable[[#This Row],[Units Sold]])</f>
        <v/>
      </c>
      <c r="W260" t="str">
        <f t="shared" si="45"/>
        <v/>
      </c>
      <c r="X260" t="str">
        <f t="shared" si="46"/>
        <v/>
      </c>
      <c r="Y260" t="str">
        <f>IF(C260="","",IF(InventoryTable[[#This Row],[Stock Balance]]&lt;=0,"Sold Out",IF((InventoryTable[[#This Row],[Stock Balance]]/InventoryTable[[#This Row],[Total Pieces]])&lt;=0.25,"Low on Stocks","Available")))</f>
        <v/>
      </c>
    </row>
    <row r="261" spans="1:25" x14ac:dyDescent="0.3">
      <c r="A261" t="str">
        <f>IF(C261="","",_xlfn.CONCAT(LEFT(InventoryTable[[#This Row],[Category]],1),InventoryTable[[#This Row],[Product Pricing Type]],ROW()))</f>
        <v/>
      </c>
      <c r="H261" t="str">
        <f t="shared" si="37"/>
        <v/>
      </c>
      <c r="K261" t="str">
        <f t="shared" si="38"/>
        <v/>
      </c>
      <c r="N261" t="str">
        <f t="shared" si="39"/>
        <v/>
      </c>
      <c r="P261" t="str">
        <f t="shared" si="40"/>
        <v/>
      </c>
      <c r="Q261" s="4" t="str">
        <f t="shared" si="41"/>
        <v/>
      </c>
      <c r="R261" t="str">
        <f t="shared" si="42"/>
        <v/>
      </c>
      <c r="S261" t="str">
        <f t="shared" si="43"/>
        <v/>
      </c>
      <c r="T261" t="str">
        <f>IF(C261="","",InventoryTable[[#This Row],[Profit per Unit]]*InventoryTable[[#This Row],[Total Pieces]])</f>
        <v/>
      </c>
      <c r="U261" t="str">
        <f t="shared" si="44"/>
        <v/>
      </c>
      <c r="V261" t="str">
        <f>IF(C261="","",H261-InventoryTable[[#This Row],[Units Sold]])</f>
        <v/>
      </c>
      <c r="W261" t="str">
        <f t="shared" si="45"/>
        <v/>
      </c>
      <c r="X261" t="str">
        <f t="shared" si="46"/>
        <v/>
      </c>
      <c r="Y261" t="str">
        <f>IF(C261="","",IF(InventoryTable[[#This Row],[Stock Balance]]&lt;=0,"Sold Out",IF((InventoryTable[[#This Row],[Stock Balance]]/InventoryTable[[#This Row],[Total Pieces]])&lt;=0.25,"Low on Stocks","Available")))</f>
        <v/>
      </c>
    </row>
    <row r="262" spans="1:25" x14ac:dyDescent="0.3">
      <c r="A262" t="str">
        <f>IF(C262="","",_xlfn.CONCAT(LEFT(InventoryTable[[#This Row],[Category]],1),InventoryTable[[#This Row],[Product Pricing Type]],ROW()))</f>
        <v/>
      </c>
      <c r="H262" t="str">
        <f t="shared" si="37"/>
        <v/>
      </c>
      <c r="K262" t="str">
        <f t="shared" si="38"/>
        <v/>
      </c>
      <c r="N262" t="str">
        <f t="shared" si="39"/>
        <v/>
      </c>
      <c r="P262" t="str">
        <f t="shared" si="40"/>
        <v/>
      </c>
      <c r="Q262" s="4" t="str">
        <f t="shared" si="41"/>
        <v/>
      </c>
      <c r="R262" t="str">
        <f t="shared" si="42"/>
        <v/>
      </c>
      <c r="S262" t="str">
        <f t="shared" si="43"/>
        <v/>
      </c>
      <c r="T262" t="str">
        <f>IF(C262="","",InventoryTable[[#This Row],[Profit per Unit]]*InventoryTable[[#This Row],[Total Pieces]])</f>
        <v/>
      </c>
      <c r="U262" t="str">
        <f t="shared" si="44"/>
        <v/>
      </c>
      <c r="V262" t="str">
        <f>IF(C262="","",H262-InventoryTable[[#This Row],[Units Sold]])</f>
        <v/>
      </c>
      <c r="W262" t="str">
        <f t="shared" si="45"/>
        <v/>
      </c>
      <c r="X262" t="str">
        <f t="shared" si="46"/>
        <v/>
      </c>
      <c r="Y262" t="str">
        <f>IF(C262="","",IF(InventoryTable[[#This Row],[Stock Balance]]&lt;=0,"Sold Out",IF((InventoryTable[[#This Row],[Stock Balance]]/InventoryTable[[#This Row],[Total Pieces]])&lt;=0.25,"Low on Stocks","Available")))</f>
        <v/>
      </c>
    </row>
    <row r="263" spans="1:25" x14ac:dyDescent="0.3">
      <c r="A263" t="str">
        <f>IF(C263="","",_xlfn.CONCAT(LEFT(InventoryTable[[#This Row],[Category]],1),InventoryTable[[#This Row],[Product Pricing Type]],ROW()))</f>
        <v/>
      </c>
      <c r="H263" t="str">
        <f t="shared" si="37"/>
        <v/>
      </c>
      <c r="K263" t="str">
        <f t="shared" si="38"/>
        <v/>
      </c>
      <c r="N263" t="str">
        <f t="shared" si="39"/>
        <v/>
      </c>
      <c r="P263" t="str">
        <f t="shared" si="40"/>
        <v/>
      </c>
      <c r="Q263" s="4" t="str">
        <f t="shared" si="41"/>
        <v/>
      </c>
      <c r="R263" t="str">
        <f t="shared" si="42"/>
        <v/>
      </c>
      <c r="S263" t="str">
        <f t="shared" si="43"/>
        <v/>
      </c>
      <c r="T263" t="str">
        <f>IF(C263="","",InventoryTable[[#This Row],[Profit per Unit]]*InventoryTable[[#This Row],[Total Pieces]])</f>
        <v/>
      </c>
      <c r="U263" t="str">
        <f t="shared" si="44"/>
        <v/>
      </c>
      <c r="V263" t="str">
        <f>IF(C263="","",H263-InventoryTable[[#This Row],[Units Sold]])</f>
        <v/>
      </c>
      <c r="W263" t="str">
        <f t="shared" si="45"/>
        <v/>
      </c>
      <c r="X263" t="str">
        <f t="shared" si="46"/>
        <v/>
      </c>
      <c r="Y263" t="str">
        <f>IF(C263="","",IF(InventoryTable[[#This Row],[Stock Balance]]&lt;=0,"Sold Out",IF((InventoryTable[[#This Row],[Stock Balance]]/InventoryTable[[#This Row],[Total Pieces]])&lt;=0.25,"Low on Stocks","Available")))</f>
        <v/>
      </c>
    </row>
    <row r="264" spans="1:25" x14ac:dyDescent="0.3">
      <c r="A264" t="str">
        <f>IF(C264="","",_xlfn.CONCAT(LEFT(InventoryTable[[#This Row],[Category]],1),InventoryTable[[#This Row],[Product Pricing Type]],ROW()))</f>
        <v/>
      </c>
      <c r="H264" t="str">
        <f t="shared" si="37"/>
        <v/>
      </c>
      <c r="K264" t="str">
        <f t="shared" si="38"/>
        <v/>
      </c>
      <c r="N264" t="str">
        <f t="shared" si="39"/>
        <v/>
      </c>
      <c r="P264" t="str">
        <f t="shared" si="40"/>
        <v/>
      </c>
      <c r="Q264" s="4" t="str">
        <f t="shared" si="41"/>
        <v/>
      </c>
      <c r="R264" t="str">
        <f t="shared" si="42"/>
        <v/>
      </c>
      <c r="S264" t="str">
        <f t="shared" si="43"/>
        <v/>
      </c>
      <c r="T264" t="str">
        <f>IF(C264="","",InventoryTable[[#This Row],[Profit per Unit]]*InventoryTable[[#This Row],[Total Pieces]])</f>
        <v/>
      </c>
      <c r="U264" t="str">
        <f t="shared" si="44"/>
        <v/>
      </c>
      <c r="V264" t="str">
        <f>IF(C264="","",H264-InventoryTable[[#This Row],[Units Sold]])</f>
        <v/>
      </c>
      <c r="W264" t="str">
        <f t="shared" si="45"/>
        <v/>
      </c>
      <c r="X264" t="str">
        <f t="shared" si="46"/>
        <v/>
      </c>
      <c r="Y264" t="str">
        <f>IF(C264="","",IF(InventoryTable[[#This Row],[Stock Balance]]&lt;=0,"Sold Out",IF((InventoryTable[[#This Row],[Stock Balance]]/InventoryTable[[#This Row],[Total Pieces]])&lt;=0.25,"Low on Stocks","Available")))</f>
        <v/>
      </c>
    </row>
    <row r="265" spans="1:25" x14ac:dyDescent="0.3">
      <c r="A265" t="str">
        <f>IF(C265="","",_xlfn.CONCAT(LEFT(InventoryTable[[#This Row],[Category]],1),InventoryTable[[#This Row],[Product Pricing Type]],ROW()))</f>
        <v/>
      </c>
      <c r="H265" t="str">
        <f t="shared" si="37"/>
        <v/>
      </c>
      <c r="K265" t="str">
        <f t="shared" si="38"/>
        <v/>
      </c>
      <c r="N265" t="str">
        <f t="shared" si="39"/>
        <v/>
      </c>
      <c r="P265" t="str">
        <f t="shared" si="40"/>
        <v/>
      </c>
      <c r="Q265" s="4" t="str">
        <f t="shared" si="41"/>
        <v/>
      </c>
      <c r="R265" t="str">
        <f t="shared" si="42"/>
        <v/>
      </c>
      <c r="S265" t="str">
        <f t="shared" si="43"/>
        <v/>
      </c>
      <c r="T265" t="str">
        <f>IF(C265="","",InventoryTable[[#This Row],[Profit per Unit]]*InventoryTable[[#This Row],[Total Pieces]])</f>
        <v/>
      </c>
      <c r="U265" t="str">
        <f t="shared" si="44"/>
        <v/>
      </c>
      <c r="V265" t="str">
        <f>IF(C265="","",H265-InventoryTable[[#This Row],[Units Sold]])</f>
        <v/>
      </c>
      <c r="W265" t="str">
        <f t="shared" si="45"/>
        <v/>
      </c>
      <c r="X265" t="str">
        <f t="shared" si="46"/>
        <v/>
      </c>
      <c r="Y265" t="str">
        <f>IF(C265="","",IF(InventoryTable[[#This Row],[Stock Balance]]&lt;=0,"Sold Out",IF((InventoryTable[[#This Row],[Stock Balance]]/InventoryTable[[#This Row],[Total Pieces]])&lt;=0.25,"Low on Stocks","Available")))</f>
        <v/>
      </c>
    </row>
    <row r="266" spans="1:25" x14ac:dyDescent="0.3">
      <c r="A266" t="str">
        <f>IF(C266="","",_xlfn.CONCAT(LEFT(InventoryTable[[#This Row],[Category]],1),InventoryTable[[#This Row],[Product Pricing Type]],ROW()))</f>
        <v/>
      </c>
      <c r="H266" t="str">
        <f t="shared" si="37"/>
        <v/>
      </c>
      <c r="K266" t="str">
        <f t="shared" si="38"/>
        <v/>
      </c>
      <c r="N266" t="str">
        <f t="shared" si="39"/>
        <v/>
      </c>
      <c r="P266" t="str">
        <f t="shared" si="40"/>
        <v/>
      </c>
      <c r="Q266" s="4" t="str">
        <f t="shared" si="41"/>
        <v/>
      </c>
      <c r="R266" t="str">
        <f t="shared" si="42"/>
        <v/>
      </c>
      <c r="S266" t="str">
        <f t="shared" si="43"/>
        <v/>
      </c>
      <c r="T266" t="str">
        <f>IF(C266="","",InventoryTable[[#This Row],[Profit per Unit]]*InventoryTable[[#This Row],[Total Pieces]])</f>
        <v/>
      </c>
      <c r="U266" t="str">
        <f t="shared" si="44"/>
        <v/>
      </c>
      <c r="V266" t="str">
        <f>IF(C266="","",H266-InventoryTable[[#This Row],[Units Sold]])</f>
        <v/>
      </c>
      <c r="W266" t="str">
        <f t="shared" si="45"/>
        <v/>
      </c>
      <c r="X266" t="str">
        <f t="shared" si="46"/>
        <v/>
      </c>
      <c r="Y266" t="str">
        <f>IF(C266="","",IF(InventoryTable[[#This Row],[Stock Balance]]&lt;=0,"Sold Out",IF((InventoryTable[[#This Row],[Stock Balance]]/InventoryTable[[#This Row],[Total Pieces]])&lt;=0.25,"Low on Stocks","Available")))</f>
        <v/>
      </c>
    </row>
    <row r="267" spans="1:25" x14ac:dyDescent="0.3">
      <c r="A267" t="str">
        <f>IF(C267="","",_xlfn.CONCAT(LEFT(InventoryTable[[#This Row],[Category]],1),InventoryTable[[#This Row],[Product Pricing Type]],ROW()))</f>
        <v/>
      </c>
      <c r="H267" t="str">
        <f t="shared" si="37"/>
        <v/>
      </c>
      <c r="K267" t="str">
        <f t="shared" si="38"/>
        <v/>
      </c>
      <c r="N267" t="str">
        <f t="shared" si="39"/>
        <v/>
      </c>
      <c r="P267" t="str">
        <f t="shared" si="40"/>
        <v/>
      </c>
      <c r="Q267" s="4" t="str">
        <f t="shared" si="41"/>
        <v/>
      </c>
      <c r="R267" t="str">
        <f t="shared" si="42"/>
        <v/>
      </c>
      <c r="S267" t="str">
        <f t="shared" si="43"/>
        <v/>
      </c>
      <c r="T267" t="str">
        <f>IF(C267="","",InventoryTable[[#This Row],[Profit per Unit]]*InventoryTable[[#This Row],[Total Pieces]])</f>
        <v/>
      </c>
      <c r="U267" t="str">
        <f t="shared" si="44"/>
        <v/>
      </c>
      <c r="V267" t="str">
        <f>IF(C267="","",H267-InventoryTable[[#This Row],[Units Sold]])</f>
        <v/>
      </c>
      <c r="W267" t="str">
        <f t="shared" si="45"/>
        <v/>
      </c>
      <c r="X267" t="str">
        <f t="shared" si="46"/>
        <v/>
      </c>
      <c r="Y267" t="str">
        <f>IF(C267="","",IF(InventoryTable[[#This Row],[Stock Balance]]&lt;=0,"Sold Out",IF((InventoryTable[[#This Row],[Stock Balance]]/InventoryTable[[#This Row],[Total Pieces]])&lt;=0.25,"Low on Stocks","Available")))</f>
        <v/>
      </c>
    </row>
    <row r="268" spans="1:25" x14ac:dyDescent="0.3">
      <c r="A268" t="str">
        <f>IF(C268="","",_xlfn.CONCAT(LEFT(InventoryTable[[#This Row],[Category]],1),InventoryTable[[#This Row],[Product Pricing Type]],ROW()))</f>
        <v/>
      </c>
      <c r="H268" t="str">
        <f t="shared" si="37"/>
        <v/>
      </c>
      <c r="K268" t="str">
        <f t="shared" si="38"/>
        <v/>
      </c>
      <c r="N268" t="str">
        <f t="shared" si="39"/>
        <v/>
      </c>
      <c r="P268" t="str">
        <f t="shared" si="40"/>
        <v/>
      </c>
      <c r="Q268" s="4" t="str">
        <f t="shared" si="41"/>
        <v/>
      </c>
      <c r="R268" t="str">
        <f t="shared" si="42"/>
        <v/>
      </c>
      <c r="S268" t="str">
        <f t="shared" si="43"/>
        <v/>
      </c>
      <c r="T268" t="str">
        <f>IF(C268="","",InventoryTable[[#This Row],[Profit per Unit]]*InventoryTable[[#This Row],[Total Pieces]])</f>
        <v/>
      </c>
      <c r="U268" t="str">
        <f t="shared" si="44"/>
        <v/>
      </c>
      <c r="V268" t="str">
        <f>IF(C268="","",H268-InventoryTable[[#This Row],[Units Sold]])</f>
        <v/>
      </c>
      <c r="W268" t="str">
        <f t="shared" si="45"/>
        <v/>
      </c>
      <c r="X268" t="str">
        <f t="shared" si="46"/>
        <v/>
      </c>
      <c r="Y268" t="str">
        <f>IF(C268="","",IF(InventoryTable[[#This Row],[Stock Balance]]&lt;=0,"Sold Out",IF((InventoryTable[[#This Row],[Stock Balance]]/InventoryTable[[#This Row],[Total Pieces]])&lt;=0.25,"Low on Stocks","Available")))</f>
        <v/>
      </c>
    </row>
    <row r="269" spans="1:25" x14ac:dyDescent="0.3">
      <c r="A269" t="str">
        <f>IF(C269="","",_xlfn.CONCAT(LEFT(InventoryTable[[#This Row],[Category]],1),InventoryTable[[#This Row],[Product Pricing Type]],ROW()))</f>
        <v/>
      </c>
      <c r="H269" t="str">
        <f t="shared" si="37"/>
        <v/>
      </c>
      <c r="K269" t="str">
        <f t="shared" si="38"/>
        <v/>
      </c>
      <c r="N269" t="str">
        <f t="shared" si="39"/>
        <v/>
      </c>
      <c r="P269" t="str">
        <f t="shared" si="40"/>
        <v/>
      </c>
      <c r="Q269" s="4" t="str">
        <f t="shared" si="41"/>
        <v/>
      </c>
      <c r="R269" t="str">
        <f t="shared" si="42"/>
        <v/>
      </c>
      <c r="S269" t="str">
        <f t="shared" si="43"/>
        <v/>
      </c>
      <c r="T269" t="str">
        <f>IF(C269="","",InventoryTable[[#This Row],[Profit per Unit]]*InventoryTable[[#This Row],[Total Pieces]])</f>
        <v/>
      </c>
      <c r="U269" t="str">
        <f t="shared" si="44"/>
        <v/>
      </c>
      <c r="V269" t="str">
        <f>IF(C269="","",H269-InventoryTable[[#This Row],[Units Sold]])</f>
        <v/>
      </c>
      <c r="W269" t="str">
        <f t="shared" si="45"/>
        <v/>
      </c>
      <c r="X269" t="str">
        <f t="shared" si="46"/>
        <v/>
      </c>
      <c r="Y269" t="str">
        <f>IF(C269="","",IF(InventoryTable[[#This Row],[Stock Balance]]&lt;=0,"Sold Out",IF((InventoryTable[[#This Row],[Stock Balance]]/InventoryTable[[#This Row],[Total Pieces]])&lt;=0.25,"Low on Stocks","Available")))</f>
        <v/>
      </c>
    </row>
    <row r="270" spans="1:25" x14ac:dyDescent="0.3">
      <c r="A270" t="str">
        <f>IF(C270="","",_xlfn.CONCAT(LEFT(InventoryTable[[#This Row],[Category]],1),InventoryTable[[#This Row],[Product Pricing Type]],ROW()))</f>
        <v/>
      </c>
      <c r="H270" t="str">
        <f t="shared" si="37"/>
        <v/>
      </c>
      <c r="K270" t="str">
        <f t="shared" si="38"/>
        <v/>
      </c>
      <c r="N270" t="str">
        <f t="shared" si="39"/>
        <v/>
      </c>
      <c r="P270" t="str">
        <f t="shared" si="40"/>
        <v/>
      </c>
      <c r="Q270" s="4" t="str">
        <f t="shared" si="41"/>
        <v/>
      </c>
      <c r="R270" t="str">
        <f t="shared" si="42"/>
        <v/>
      </c>
      <c r="S270" t="str">
        <f t="shared" si="43"/>
        <v/>
      </c>
      <c r="T270" t="str">
        <f>IF(C270="","",InventoryTable[[#This Row],[Profit per Unit]]*InventoryTable[[#This Row],[Total Pieces]])</f>
        <v/>
      </c>
      <c r="U270" t="str">
        <f t="shared" si="44"/>
        <v/>
      </c>
      <c r="V270" t="str">
        <f>IF(C270="","",H270-InventoryTable[[#This Row],[Units Sold]])</f>
        <v/>
      </c>
      <c r="W270" t="str">
        <f t="shared" si="45"/>
        <v/>
      </c>
      <c r="X270" t="str">
        <f t="shared" si="46"/>
        <v/>
      </c>
      <c r="Y270" t="str">
        <f>IF(C270="","",IF(InventoryTable[[#This Row],[Stock Balance]]&lt;=0,"Sold Out",IF((InventoryTable[[#This Row],[Stock Balance]]/InventoryTable[[#This Row],[Total Pieces]])&lt;=0.25,"Low on Stocks","Available")))</f>
        <v/>
      </c>
    </row>
    <row r="271" spans="1:25" x14ac:dyDescent="0.3">
      <c r="A271" t="str">
        <f>IF(C271="","",_xlfn.CONCAT(LEFT(InventoryTable[[#This Row],[Category]],1),InventoryTable[[#This Row],[Product Pricing Type]],ROW()))</f>
        <v/>
      </c>
      <c r="H271" t="str">
        <f t="shared" si="37"/>
        <v/>
      </c>
      <c r="K271" t="str">
        <f t="shared" si="38"/>
        <v/>
      </c>
      <c r="N271" t="str">
        <f t="shared" si="39"/>
        <v/>
      </c>
      <c r="P271" t="str">
        <f t="shared" si="40"/>
        <v/>
      </c>
      <c r="Q271" s="4" t="str">
        <f t="shared" si="41"/>
        <v/>
      </c>
      <c r="R271" t="str">
        <f t="shared" si="42"/>
        <v/>
      </c>
      <c r="S271" t="str">
        <f t="shared" si="43"/>
        <v/>
      </c>
      <c r="T271" t="str">
        <f>IF(C271="","",InventoryTable[[#This Row],[Profit per Unit]]*InventoryTable[[#This Row],[Total Pieces]])</f>
        <v/>
      </c>
      <c r="U271" t="str">
        <f t="shared" si="44"/>
        <v/>
      </c>
      <c r="V271" t="str">
        <f>IF(C271="","",H271-InventoryTable[[#This Row],[Units Sold]])</f>
        <v/>
      </c>
      <c r="W271" t="str">
        <f t="shared" si="45"/>
        <v/>
      </c>
      <c r="X271" t="str">
        <f t="shared" si="46"/>
        <v/>
      </c>
      <c r="Y271" t="str">
        <f>IF(C271="","",IF(InventoryTable[[#This Row],[Stock Balance]]&lt;=0,"Sold Out",IF((InventoryTable[[#This Row],[Stock Balance]]/InventoryTable[[#This Row],[Total Pieces]])&lt;=0.25,"Low on Stocks","Available")))</f>
        <v/>
      </c>
    </row>
    <row r="272" spans="1:25" x14ac:dyDescent="0.3">
      <c r="A272" t="str">
        <f>IF(C272="","",_xlfn.CONCAT(LEFT(InventoryTable[[#This Row],[Category]],1),InventoryTable[[#This Row],[Product Pricing Type]],ROW()))</f>
        <v/>
      </c>
      <c r="H272" t="str">
        <f t="shared" si="37"/>
        <v/>
      </c>
      <c r="K272" t="str">
        <f t="shared" si="38"/>
        <v/>
      </c>
      <c r="N272" t="str">
        <f t="shared" si="39"/>
        <v/>
      </c>
      <c r="P272" t="str">
        <f t="shared" si="40"/>
        <v/>
      </c>
      <c r="Q272" s="4" t="str">
        <f t="shared" si="41"/>
        <v/>
      </c>
      <c r="R272" t="str">
        <f t="shared" si="42"/>
        <v/>
      </c>
      <c r="S272" t="str">
        <f t="shared" si="43"/>
        <v/>
      </c>
      <c r="T272" t="str">
        <f>IF(C272="","",InventoryTable[[#This Row],[Profit per Unit]]*InventoryTable[[#This Row],[Total Pieces]])</f>
        <v/>
      </c>
      <c r="U272" t="str">
        <f t="shared" si="44"/>
        <v/>
      </c>
      <c r="V272" t="str">
        <f>IF(C272="","",H272-InventoryTable[[#This Row],[Units Sold]])</f>
        <v/>
      </c>
      <c r="W272" t="str">
        <f t="shared" si="45"/>
        <v/>
      </c>
      <c r="X272" t="str">
        <f t="shared" si="46"/>
        <v/>
      </c>
      <c r="Y272" t="str">
        <f>IF(C272="","",IF(InventoryTable[[#This Row],[Stock Balance]]&lt;=0,"Sold Out",IF((InventoryTable[[#This Row],[Stock Balance]]/InventoryTable[[#This Row],[Total Pieces]])&lt;=0.25,"Low on Stocks","Available")))</f>
        <v/>
      </c>
    </row>
    <row r="273" spans="1:25" x14ac:dyDescent="0.3">
      <c r="A273" t="str">
        <f>IF(C273="","",_xlfn.CONCAT(LEFT(InventoryTable[[#This Row],[Category]],1),InventoryTable[[#This Row],[Product Pricing Type]],ROW()))</f>
        <v/>
      </c>
      <c r="H273" t="str">
        <f t="shared" si="37"/>
        <v/>
      </c>
      <c r="K273" t="str">
        <f t="shared" si="38"/>
        <v/>
      </c>
      <c r="N273" t="str">
        <f t="shared" si="39"/>
        <v/>
      </c>
      <c r="P273" t="str">
        <f t="shared" si="40"/>
        <v/>
      </c>
      <c r="Q273" s="4" t="str">
        <f t="shared" si="41"/>
        <v/>
      </c>
      <c r="R273" t="str">
        <f t="shared" si="42"/>
        <v/>
      </c>
      <c r="S273" t="str">
        <f t="shared" si="43"/>
        <v/>
      </c>
      <c r="T273" t="str">
        <f>IF(C273="","",InventoryTable[[#This Row],[Profit per Unit]]*InventoryTable[[#This Row],[Total Pieces]])</f>
        <v/>
      </c>
      <c r="U273" t="str">
        <f t="shared" si="44"/>
        <v/>
      </c>
      <c r="V273" t="str">
        <f>IF(C273="","",H273-InventoryTable[[#This Row],[Units Sold]])</f>
        <v/>
      </c>
      <c r="W273" t="str">
        <f t="shared" si="45"/>
        <v/>
      </c>
      <c r="X273" t="str">
        <f t="shared" si="46"/>
        <v/>
      </c>
      <c r="Y273" t="str">
        <f>IF(C273="","",IF(InventoryTable[[#This Row],[Stock Balance]]&lt;=0,"Sold Out",IF((InventoryTable[[#This Row],[Stock Balance]]/InventoryTable[[#This Row],[Total Pieces]])&lt;=0.25,"Low on Stocks","Available")))</f>
        <v/>
      </c>
    </row>
    <row r="274" spans="1:25" x14ac:dyDescent="0.3">
      <c r="A274" t="str">
        <f>IF(C274="","",_xlfn.CONCAT(LEFT(InventoryTable[[#This Row],[Category]],1),InventoryTable[[#This Row],[Product Pricing Type]],ROW()))</f>
        <v/>
      </c>
      <c r="H274" t="str">
        <f t="shared" si="37"/>
        <v/>
      </c>
      <c r="K274" t="str">
        <f t="shared" si="38"/>
        <v/>
      </c>
      <c r="N274" t="str">
        <f t="shared" si="39"/>
        <v/>
      </c>
      <c r="P274" t="str">
        <f t="shared" si="40"/>
        <v/>
      </c>
      <c r="Q274" s="4" t="str">
        <f t="shared" si="41"/>
        <v/>
      </c>
      <c r="R274" t="str">
        <f t="shared" si="42"/>
        <v/>
      </c>
      <c r="S274" t="str">
        <f t="shared" si="43"/>
        <v/>
      </c>
      <c r="T274" t="str">
        <f>IF(C274="","",InventoryTable[[#This Row],[Profit per Unit]]*InventoryTable[[#This Row],[Total Pieces]])</f>
        <v/>
      </c>
      <c r="U274" t="str">
        <f t="shared" si="44"/>
        <v/>
      </c>
      <c r="V274" t="str">
        <f>IF(C274="","",H274-InventoryTable[[#This Row],[Units Sold]])</f>
        <v/>
      </c>
      <c r="W274" t="str">
        <f t="shared" si="45"/>
        <v/>
      </c>
      <c r="X274" t="str">
        <f t="shared" si="46"/>
        <v/>
      </c>
      <c r="Y274" t="str">
        <f>IF(C274="","",IF(InventoryTable[[#This Row],[Stock Balance]]&lt;=0,"Sold Out",IF((InventoryTable[[#This Row],[Stock Balance]]/InventoryTable[[#This Row],[Total Pieces]])&lt;=0.25,"Low on Stocks","Available")))</f>
        <v/>
      </c>
    </row>
    <row r="275" spans="1:25" x14ac:dyDescent="0.3">
      <c r="A275" t="str">
        <f>IF(C275="","",_xlfn.CONCAT(LEFT(InventoryTable[[#This Row],[Category]],1),InventoryTable[[#This Row],[Product Pricing Type]],ROW()))</f>
        <v/>
      </c>
      <c r="H275" t="str">
        <f t="shared" si="37"/>
        <v/>
      </c>
      <c r="K275" t="str">
        <f t="shared" si="38"/>
        <v/>
      </c>
      <c r="N275" t="str">
        <f t="shared" si="39"/>
        <v/>
      </c>
      <c r="P275" t="str">
        <f t="shared" si="40"/>
        <v/>
      </c>
      <c r="Q275" s="4" t="str">
        <f t="shared" si="41"/>
        <v/>
      </c>
      <c r="R275" t="str">
        <f t="shared" si="42"/>
        <v/>
      </c>
      <c r="S275" t="str">
        <f t="shared" si="43"/>
        <v/>
      </c>
      <c r="T275" t="str">
        <f>IF(C275="","",InventoryTable[[#This Row],[Profit per Unit]]*InventoryTable[[#This Row],[Total Pieces]])</f>
        <v/>
      </c>
      <c r="U275" t="str">
        <f t="shared" si="44"/>
        <v/>
      </c>
      <c r="V275" t="str">
        <f>IF(C275="","",H275-InventoryTable[[#This Row],[Units Sold]])</f>
        <v/>
      </c>
      <c r="W275" t="str">
        <f t="shared" si="45"/>
        <v/>
      </c>
      <c r="X275" t="str">
        <f t="shared" si="46"/>
        <v/>
      </c>
      <c r="Y275" t="str">
        <f>IF(C275="","",IF(InventoryTable[[#This Row],[Stock Balance]]&lt;=0,"Sold Out",IF((InventoryTable[[#This Row],[Stock Balance]]/InventoryTable[[#This Row],[Total Pieces]])&lt;=0.25,"Low on Stocks","Available")))</f>
        <v/>
      </c>
    </row>
    <row r="276" spans="1:25" x14ac:dyDescent="0.3">
      <c r="A276" t="str">
        <f>IF(C276="","",_xlfn.CONCAT(LEFT(InventoryTable[[#This Row],[Category]],1),InventoryTable[[#This Row],[Product Pricing Type]],ROW()))</f>
        <v/>
      </c>
      <c r="H276" t="str">
        <f t="shared" si="37"/>
        <v/>
      </c>
      <c r="K276" t="str">
        <f t="shared" si="38"/>
        <v/>
      </c>
      <c r="N276" t="str">
        <f t="shared" si="39"/>
        <v/>
      </c>
      <c r="P276" t="str">
        <f t="shared" si="40"/>
        <v/>
      </c>
      <c r="Q276" s="4" t="str">
        <f t="shared" si="41"/>
        <v/>
      </c>
      <c r="R276" t="str">
        <f t="shared" si="42"/>
        <v/>
      </c>
      <c r="S276" t="str">
        <f t="shared" si="43"/>
        <v/>
      </c>
      <c r="T276" t="str">
        <f>IF(C276="","",InventoryTable[[#This Row],[Profit per Unit]]*InventoryTable[[#This Row],[Total Pieces]])</f>
        <v/>
      </c>
      <c r="U276" t="str">
        <f t="shared" si="44"/>
        <v/>
      </c>
      <c r="V276" t="str">
        <f>IF(C276="","",H276-InventoryTable[[#This Row],[Units Sold]])</f>
        <v/>
      </c>
      <c r="W276" t="str">
        <f t="shared" si="45"/>
        <v/>
      </c>
      <c r="X276" t="str">
        <f t="shared" si="46"/>
        <v/>
      </c>
      <c r="Y276" t="str">
        <f>IF(C276="","",IF(InventoryTable[[#This Row],[Stock Balance]]&lt;=0,"Sold Out",IF((InventoryTable[[#This Row],[Stock Balance]]/InventoryTable[[#This Row],[Total Pieces]])&lt;=0.25,"Low on Stocks","Available")))</f>
        <v/>
      </c>
    </row>
    <row r="277" spans="1:25" x14ac:dyDescent="0.3">
      <c r="A277" t="str">
        <f>IF(C277="","",_xlfn.CONCAT(LEFT(InventoryTable[[#This Row],[Category]],1),InventoryTable[[#This Row],[Product Pricing Type]],ROW()))</f>
        <v/>
      </c>
      <c r="H277" t="str">
        <f t="shared" si="37"/>
        <v/>
      </c>
      <c r="K277" t="str">
        <f t="shared" si="38"/>
        <v/>
      </c>
      <c r="N277" t="str">
        <f t="shared" si="39"/>
        <v/>
      </c>
      <c r="P277" t="str">
        <f t="shared" si="40"/>
        <v/>
      </c>
      <c r="Q277" s="4" t="str">
        <f t="shared" si="41"/>
        <v/>
      </c>
      <c r="R277" t="str">
        <f t="shared" si="42"/>
        <v/>
      </c>
      <c r="S277" t="str">
        <f t="shared" si="43"/>
        <v/>
      </c>
      <c r="T277" t="str">
        <f>IF(C277="","",InventoryTable[[#This Row],[Profit per Unit]]*InventoryTable[[#This Row],[Total Pieces]])</f>
        <v/>
      </c>
      <c r="U277" t="str">
        <f t="shared" si="44"/>
        <v/>
      </c>
      <c r="V277" t="str">
        <f>IF(C277="","",H277-InventoryTable[[#This Row],[Units Sold]])</f>
        <v/>
      </c>
      <c r="W277" t="str">
        <f t="shared" si="45"/>
        <v/>
      </c>
      <c r="X277" t="str">
        <f t="shared" si="46"/>
        <v/>
      </c>
      <c r="Y277" t="str">
        <f>IF(C277="","",IF(InventoryTable[[#This Row],[Stock Balance]]&lt;=0,"Sold Out",IF((InventoryTable[[#This Row],[Stock Balance]]/InventoryTable[[#This Row],[Total Pieces]])&lt;=0.25,"Low on Stocks","Available")))</f>
        <v/>
      </c>
    </row>
    <row r="278" spans="1:25" x14ac:dyDescent="0.3">
      <c r="A278" t="str">
        <f>IF(C278="","",_xlfn.CONCAT(LEFT(InventoryTable[[#This Row],[Category]],1),InventoryTable[[#This Row],[Product Pricing Type]],ROW()))</f>
        <v/>
      </c>
      <c r="H278" t="str">
        <f t="shared" si="37"/>
        <v/>
      </c>
      <c r="K278" t="str">
        <f t="shared" si="38"/>
        <v/>
      </c>
      <c r="N278" t="str">
        <f t="shared" si="39"/>
        <v/>
      </c>
      <c r="P278" t="str">
        <f t="shared" si="40"/>
        <v/>
      </c>
      <c r="Q278" s="4" t="str">
        <f t="shared" si="41"/>
        <v/>
      </c>
      <c r="R278" t="str">
        <f t="shared" si="42"/>
        <v/>
      </c>
      <c r="S278" t="str">
        <f t="shared" si="43"/>
        <v/>
      </c>
      <c r="T278" t="str">
        <f>IF(C278="","",InventoryTable[[#This Row],[Profit per Unit]]*InventoryTable[[#This Row],[Total Pieces]])</f>
        <v/>
      </c>
      <c r="U278" t="str">
        <f t="shared" si="44"/>
        <v/>
      </c>
      <c r="V278" t="str">
        <f>IF(C278="","",H278-InventoryTable[[#This Row],[Units Sold]])</f>
        <v/>
      </c>
      <c r="W278" t="str">
        <f t="shared" si="45"/>
        <v/>
      </c>
      <c r="X278" t="str">
        <f t="shared" si="46"/>
        <v/>
      </c>
      <c r="Y278" t="str">
        <f>IF(C278="","",IF(InventoryTable[[#This Row],[Stock Balance]]&lt;=0,"Sold Out",IF((InventoryTable[[#This Row],[Stock Balance]]/InventoryTable[[#This Row],[Total Pieces]])&lt;=0.25,"Low on Stocks","Available")))</f>
        <v/>
      </c>
    </row>
    <row r="279" spans="1:25" x14ac:dyDescent="0.3">
      <c r="A279" t="str">
        <f>IF(C279="","",_xlfn.CONCAT(LEFT(InventoryTable[[#This Row],[Category]],1),InventoryTable[[#This Row],[Product Pricing Type]],ROW()))</f>
        <v/>
      </c>
      <c r="H279" t="str">
        <f t="shared" si="37"/>
        <v/>
      </c>
      <c r="K279" t="str">
        <f t="shared" si="38"/>
        <v/>
      </c>
      <c r="N279" t="str">
        <f t="shared" si="39"/>
        <v/>
      </c>
      <c r="P279" t="str">
        <f t="shared" si="40"/>
        <v/>
      </c>
      <c r="Q279" s="4" t="str">
        <f t="shared" si="41"/>
        <v/>
      </c>
      <c r="R279" t="str">
        <f t="shared" si="42"/>
        <v/>
      </c>
      <c r="S279" t="str">
        <f t="shared" si="43"/>
        <v/>
      </c>
      <c r="T279" t="str">
        <f>IF(C279="","",InventoryTable[[#This Row],[Profit per Unit]]*InventoryTable[[#This Row],[Total Pieces]])</f>
        <v/>
      </c>
      <c r="U279" t="str">
        <f t="shared" si="44"/>
        <v/>
      </c>
      <c r="V279" t="str">
        <f>IF(C279="","",H279-InventoryTable[[#This Row],[Units Sold]])</f>
        <v/>
      </c>
      <c r="W279" t="str">
        <f t="shared" si="45"/>
        <v/>
      </c>
      <c r="X279" t="str">
        <f t="shared" si="46"/>
        <v/>
      </c>
      <c r="Y279" t="str">
        <f>IF(C279="","",IF(InventoryTable[[#This Row],[Stock Balance]]&lt;=0,"Sold Out",IF((InventoryTable[[#This Row],[Stock Balance]]/InventoryTable[[#This Row],[Total Pieces]])&lt;=0.25,"Low on Stocks","Available")))</f>
        <v/>
      </c>
    </row>
    <row r="280" spans="1:25" x14ac:dyDescent="0.3">
      <c r="A280" t="str">
        <f>IF(C280="","",_xlfn.CONCAT(LEFT(InventoryTable[[#This Row],[Category]],1),InventoryTable[[#This Row],[Product Pricing Type]],ROW()))</f>
        <v/>
      </c>
      <c r="H280" t="str">
        <f t="shared" si="37"/>
        <v/>
      </c>
      <c r="K280" t="str">
        <f t="shared" si="38"/>
        <v/>
      </c>
      <c r="N280" t="str">
        <f t="shared" si="39"/>
        <v/>
      </c>
      <c r="P280" t="str">
        <f t="shared" si="40"/>
        <v/>
      </c>
      <c r="Q280" s="4" t="str">
        <f t="shared" si="41"/>
        <v/>
      </c>
      <c r="R280" t="str">
        <f t="shared" si="42"/>
        <v/>
      </c>
      <c r="S280" t="str">
        <f t="shared" si="43"/>
        <v/>
      </c>
      <c r="T280" t="str">
        <f>IF(C280="","",InventoryTable[[#This Row],[Profit per Unit]]*InventoryTable[[#This Row],[Total Pieces]])</f>
        <v/>
      </c>
      <c r="U280" t="str">
        <f t="shared" si="44"/>
        <v/>
      </c>
      <c r="V280" t="str">
        <f>IF(C280="","",H280-InventoryTable[[#This Row],[Units Sold]])</f>
        <v/>
      </c>
      <c r="W280" t="str">
        <f t="shared" si="45"/>
        <v/>
      </c>
      <c r="X280" t="str">
        <f t="shared" si="46"/>
        <v/>
      </c>
      <c r="Y280" t="str">
        <f>IF(C280="","",IF(InventoryTable[[#This Row],[Stock Balance]]&lt;=0,"Sold Out",IF((InventoryTable[[#This Row],[Stock Balance]]/InventoryTable[[#This Row],[Total Pieces]])&lt;=0.25,"Low on Stocks","Available")))</f>
        <v/>
      </c>
    </row>
    <row r="281" spans="1:25" x14ac:dyDescent="0.3">
      <c r="A281" t="str">
        <f>IF(C281="","",_xlfn.CONCAT(LEFT(InventoryTable[[#This Row],[Category]],1),InventoryTable[[#This Row],[Product Pricing Type]],ROW()))</f>
        <v/>
      </c>
      <c r="H281" t="str">
        <f t="shared" si="37"/>
        <v/>
      </c>
      <c r="K281" t="str">
        <f t="shared" si="38"/>
        <v/>
      </c>
      <c r="N281" t="str">
        <f t="shared" si="39"/>
        <v/>
      </c>
      <c r="P281" t="str">
        <f t="shared" si="40"/>
        <v/>
      </c>
      <c r="Q281" s="4" t="str">
        <f t="shared" si="41"/>
        <v/>
      </c>
      <c r="R281" t="str">
        <f t="shared" si="42"/>
        <v/>
      </c>
      <c r="S281" t="str">
        <f t="shared" si="43"/>
        <v/>
      </c>
      <c r="T281" t="str">
        <f>IF(C281="","",InventoryTable[[#This Row],[Profit per Unit]]*InventoryTable[[#This Row],[Total Pieces]])</f>
        <v/>
      </c>
      <c r="U281" t="str">
        <f t="shared" si="44"/>
        <v/>
      </c>
      <c r="V281" t="str">
        <f>IF(C281="","",H281-InventoryTable[[#This Row],[Units Sold]])</f>
        <v/>
      </c>
      <c r="W281" t="str">
        <f t="shared" si="45"/>
        <v/>
      </c>
      <c r="X281" t="str">
        <f t="shared" si="46"/>
        <v/>
      </c>
      <c r="Y281" t="str">
        <f>IF(C281="","",IF(InventoryTable[[#This Row],[Stock Balance]]&lt;=0,"Sold Out",IF((InventoryTable[[#This Row],[Stock Balance]]/InventoryTable[[#This Row],[Total Pieces]])&lt;=0.25,"Low on Stocks","Available")))</f>
        <v/>
      </c>
    </row>
    <row r="282" spans="1:25" x14ac:dyDescent="0.3">
      <c r="A282" t="str">
        <f>IF(C282="","",_xlfn.CONCAT(LEFT(InventoryTable[[#This Row],[Category]],1),InventoryTable[[#This Row],[Product Pricing Type]],ROW()))</f>
        <v/>
      </c>
      <c r="H282" t="str">
        <f t="shared" si="37"/>
        <v/>
      </c>
      <c r="K282" t="str">
        <f t="shared" si="38"/>
        <v/>
      </c>
      <c r="N282" t="str">
        <f t="shared" si="39"/>
        <v/>
      </c>
      <c r="P282" t="str">
        <f t="shared" si="40"/>
        <v/>
      </c>
      <c r="Q282" s="4" t="str">
        <f t="shared" si="41"/>
        <v/>
      </c>
      <c r="R282" t="str">
        <f t="shared" si="42"/>
        <v/>
      </c>
      <c r="S282" t="str">
        <f t="shared" si="43"/>
        <v/>
      </c>
      <c r="T282" t="str">
        <f>IF(C282="","",InventoryTable[[#This Row],[Profit per Unit]]*InventoryTable[[#This Row],[Total Pieces]])</f>
        <v/>
      </c>
      <c r="U282" t="str">
        <f t="shared" si="44"/>
        <v/>
      </c>
      <c r="V282" t="str">
        <f>IF(C282="","",H282-InventoryTable[[#This Row],[Units Sold]])</f>
        <v/>
      </c>
      <c r="W282" t="str">
        <f t="shared" si="45"/>
        <v/>
      </c>
      <c r="X282" t="str">
        <f t="shared" si="46"/>
        <v/>
      </c>
      <c r="Y282" t="str">
        <f>IF(C282="","",IF(InventoryTable[[#This Row],[Stock Balance]]&lt;=0,"Sold Out",IF((InventoryTable[[#This Row],[Stock Balance]]/InventoryTable[[#This Row],[Total Pieces]])&lt;=0.25,"Low on Stocks","Available")))</f>
        <v/>
      </c>
    </row>
    <row r="283" spans="1:25" x14ac:dyDescent="0.3">
      <c r="A283" t="str">
        <f>IF(C283="","",_xlfn.CONCAT(LEFT(InventoryTable[[#This Row],[Category]],1),InventoryTable[[#This Row],[Product Pricing Type]],ROW()))</f>
        <v/>
      </c>
      <c r="H283" t="str">
        <f t="shared" si="37"/>
        <v/>
      </c>
      <c r="K283" t="str">
        <f t="shared" si="38"/>
        <v/>
      </c>
      <c r="N283" t="str">
        <f t="shared" si="39"/>
        <v/>
      </c>
      <c r="P283" t="str">
        <f t="shared" si="40"/>
        <v/>
      </c>
      <c r="Q283" s="4" t="str">
        <f t="shared" si="41"/>
        <v/>
      </c>
      <c r="R283" t="str">
        <f t="shared" si="42"/>
        <v/>
      </c>
      <c r="S283" t="str">
        <f t="shared" si="43"/>
        <v/>
      </c>
      <c r="T283" t="str">
        <f>IF(C283="","",InventoryTable[[#This Row],[Profit per Unit]]*InventoryTable[[#This Row],[Total Pieces]])</f>
        <v/>
      </c>
      <c r="U283" t="str">
        <f t="shared" si="44"/>
        <v/>
      </c>
      <c r="V283" t="str">
        <f>IF(C283="","",H283-InventoryTable[[#This Row],[Units Sold]])</f>
        <v/>
      </c>
      <c r="W283" t="str">
        <f t="shared" si="45"/>
        <v/>
      </c>
      <c r="X283" t="str">
        <f t="shared" si="46"/>
        <v/>
      </c>
      <c r="Y283" t="str">
        <f>IF(C283="","",IF(InventoryTable[[#This Row],[Stock Balance]]&lt;=0,"Sold Out",IF((InventoryTable[[#This Row],[Stock Balance]]/InventoryTable[[#This Row],[Total Pieces]])&lt;=0.25,"Low on Stocks","Available")))</f>
        <v/>
      </c>
    </row>
    <row r="284" spans="1:25" x14ac:dyDescent="0.3">
      <c r="A284" t="str">
        <f>IF(C284="","",_xlfn.CONCAT(LEFT(InventoryTable[[#This Row],[Category]],1),InventoryTable[[#This Row],[Product Pricing Type]],ROW()))</f>
        <v/>
      </c>
      <c r="H284" t="str">
        <f t="shared" si="37"/>
        <v/>
      </c>
      <c r="K284" t="str">
        <f t="shared" si="38"/>
        <v/>
      </c>
      <c r="N284" t="str">
        <f t="shared" si="39"/>
        <v/>
      </c>
      <c r="P284" t="str">
        <f t="shared" si="40"/>
        <v/>
      </c>
      <c r="Q284" s="4" t="str">
        <f t="shared" si="41"/>
        <v/>
      </c>
      <c r="R284" t="str">
        <f t="shared" si="42"/>
        <v/>
      </c>
      <c r="S284" t="str">
        <f t="shared" si="43"/>
        <v/>
      </c>
      <c r="T284" t="str">
        <f>IF(C284="","",InventoryTable[[#This Row],[Profit per Unit]]*InventoryTable[[#This Row],[Total Pieces]])</f>
        <v/>
      </c>
      <c r="U284" t="str">
        <f t="shared" si="44"/>
        <v/>
      </c>
      <c r="V284" t="str">
        <f>IF(C284="","",H284-InventoryTable[[#This Row],[Units Sold]])</f>
        <v/>
      </c>
      <c r="W284" t="str">
        <f t="shared" si="45"/>
        <v/>
      </c>
      <c r="X284" t="str">
        <f t="shared" si="46"/>
        <v/>
      </c>
      <c r="Y284" t="str">
        <f>IF(C284="","",IF(InventoryTable[[#This Row],[Stock Balance]]&lt;=0,"Sold Out",IF((InventoryTable[[#This Row],[Stock Balance]]/InventoryTable[[#This Row],[Total Pieces]])&lt;=0.25,"Low on Stocks","Available")))</f>
        <v/>
      </c>
    </row>
    <row r="285" spans="1:25" x14ac:dyDescent="0.3">
      <c r="A285" t="str">
        <f>IF(C285="","",_xlfn.CONCAT(LEFT(InventoryTable[[#This Row],[Category]],1),InventoryTable[[#This Row],[Product Pricing Type]],ROW()))</f>
        <v/>
      </c>
      <c r="H285" t="str">
        <f t="shared" si="37"/>
        <v/>
      </c>
      <c r="K285" t="str">
        <f t="shared" si="38"/>
        <v/>
      </c>
      <c r="N285" t="str">
        <f t="shared" si="39"/>
        <v/>
      </c>
      <c r="P285" t="str">
        <f t="shared" si="40"/>
        <v/>
      </c>
      <c r="Q285" s="4" t="str">
        <f t="shared" si="41"/>
        <v/>
      </c>
      <c r="R285" t="str">
        <f t="shared" si="42"/>
        <v/>
      </c>
      <c r="S285" t="str">
        <f t="shared" si="43"/>
        <v/>
      </c>
      <c r="T285" t="str">
        <f>IF(C285="","",InventoryTable[[#This Row],[Profit per Unit]]*InventoryTable[[#This Row],[Total Pieces]])</f>
        <v/>
      </c>
      <c r="U285" t="str">
        <f t="shared" si="44"/>
        <v/>
      </c>
      <c r="V285" t="str">
        <f>IF(C285="","",H285-InventoryTable[[#This Row],[Units Sold]])</f>
        <v/>
      </c>
      <c r="W285" t="str">
        <f t="shared" si="45"/>
        <v/>
      </c>
      <c r="X285" t="str">
        <f t="shared" si="46"/>
        <v/>
      </c>
      <c r="Y285" t="str">
        <f>IF(C285="","",IF(InventoryTable[[#This Row],[Stock Balance]]&lt;=0,"Sold Out",IF((InventoryTable[[#This Row],[Stock Balance]]/InventoryTable[[#This Row],[Total Pieces]])&lt;=0.25,"Low on Stocks","Available")))</f>
        <v/>
      </c>
    </row>
    <row r="286" spans="1:25" x14ac:dyDescent="0.3">
      <c r="A286" t="str">
        <f>IF(C286="","",_xlfn.CONCAT(LEFT(InventoryTable[[#This Row],[Category]],1),InventoryTable[[#This Row],[Product Pricing Type]],ROW()))</f>
        <v/>
      </c>
      <c r="H286" t="str">
        <f t="shared" si="37"/>
        <v/>
      </c>
      <c r="K286" t="str">
        <f t="shared" si="38"/>
        <v/>
      </c>
      <c r="N286" t="str">
        <f t="shared" si="39"/>
        <v/>
      </c>
      <c r="P286" t="str">
        <f t="shared" si="40"/>
        <v/>
      </c>
      <c r="Q286" s="4" t="str">
        <f t="shared" si="41"/>
        <v/>
      </c>
      <c r="R286" t="str">
        <f t="shared" si="42"/>
        <v/>
      </c>
      <c r="S286" t="str">
        <f t="shared" si="43"/>
        <v/>
      </c>
      <c r="T286" t="str">
        <f>IF(C286="","",InventoryTable[[#This Row],[Profit per Unit]]*InventoryTable[[#This Row],[Total Pieces]])</f>
        <v/>
      </c>
      <c r="U286" t="str">
        <f t="shared" si="44"/>
        <v/>
      </c>
      <c r="V286" t="str">
        <f>IF(C286="","",H286-InventoryTable[[#This Row],[Units Sold]])</f>
        <v/>
      </c>
      <c r="W286" t="str">
        <f t="shared" si="45"/>
        <v/>
      </c>
      <c r="X286" t="str">
        <f t="shared" si="46"/>
        <v/>
      </c>
      <c r="Y286" t="str">
        <f>IF(C286="","",IF(InventoryTable[[#This Row],[Stock Balance]]&lt;=0,"Sold Out",IF((InventoryTable[[#This Row],[Stock Balance]]/InventoryTable[[#This Row],[Total Pieces]])&lt;=0.25,"Low on Stocks","Available")))</f>
        <v/>
      </c>
    </row>
    <row r="287" spans="1:25" x14ac:dyDescent="0.3">
      <c r="A287" t="str">
        <f>IF(C287="","",_xlfn.CONCAT(LEFT(InventoryTable[[#This Row],[Category]],1),InventoryTable[[#This Row],[Product Pricing Type]],ROW()))</f>
        <v/>
      </c>
      <c r="H287" t="str">
        <f t="shared" si="37"/>
        <v/>
      </c>
      <c r="K287" t="str">
        <f t="shared" si="38"/>
        <v/>
      </c>
      <c r="N287" t="str">
        <f t="shared" si="39"/>
        <v/>
      </c>
      <c r="P287" t="str">
        <f t="shared" si="40"/>
        <v/>
      </c>
      <c r="Q287" s="4" t="str">
        <f t="shared" si="41"/>
        <v/>
      </c>
      <c r="R287" t="str">
        <f t="shared" si="42"/>
        <v/>
      </c>
      <c r="S287" t="str">
        <f t="shared" si="43"/>
        <v/>
      </c>
      <c r="T287" t="str">
        <f>IF(C287="","",InventoryTable[[#This Row],[Profit per Unit]]*InventoryTable[[#This Row],[Total Pieces]])</f>
        <v/>
      </c>
      <c r="U287" t="str">
        <f t="shared" si="44"/>
        <v/>
      </c>
      <c r="V287" t="str">
        <f>IF(C287="","",H287-InventoryTable[[#This Row],[Units Sold]])</f>
        <v/>
      </c>
      <c r="W287" t="str">
        <f t="shared" si="45"/>
        <v/>
      </c>
      <c r="X287" t="str">
        <f t="shared" si="46"/>
        <v/>
      </c>
      <c r="Y287" t="str">
        <f>IF(C287="","",IF(InventoryTable[[#This Row],[Stock Balance]]&lt;=0,"Sold Out",IF((InventoryTable[[#This Row],[Stock Balance]]/InventoryTable[[#This Row],[Total Pieces]])&lt;=0.25,"Low on Stocks","Available")))</f>
        <v/>
      </c>
    </row>
    <row r="288" spans="1:25" x14ac:dyDescent="0.3">
      <c r="A288" t="str">
        <f>IF(C288="","",_xlfn.CONCAT(LEFT(InventoryTable[[#This Row],[Category]],1),InventoryTable[[#This Row],[Product Pricing Type]],ROW()))</f>
        <v/>
      </c>
      <c r="H288" t="str">
        <f t="shared" si="37"/>
        <v/>
      </c>
      <c r="K288" t="str">
        <f t="shared" si="38"/>
        <v/>
      </c>
      <c r="N288" t="str">
        <f t="shared" si="39"/>
        <v/>
      </c>
      <c r="P288" t="str">
        <f t="shared" si="40"/>
        <v/>
      </c>
      <c r="Q288" s="4" t="str">
        <f t="shared" si="41"/>
        <v/>
      </c>
      <c r="R288" t="str">
        <f t="shared" si="42"/>
        <v/>
      </c>
      <c r="S288" t="str">
        <f t="shared" si="43"/>
        <v/>
      </c>
      <c r="T288" t="str">
        <f>IF(C288="","",InventoryTable[[#This Row],[Profit per Unit]]*InventoryTable[[#This Row],[Total Pieces]])</f>
        <v/>
      </c>
      <c r="U288" t="str">
        <f t="shared" si="44"/>
        <v/>
      </c>
      <c r="V288" t="str">
        <f>IF(C288="","",H288-InventoryTable[[#This Row],[Units Sold]])</f>
        <v/>
      </c>
      <c r="W288" t="str">
        <f t="shared" si="45"/>
        <v/>
      </c>
      <c r="X288" t="str">
        <f t="shared" si="46"/>
        <v/>
      </c>
      <c r="Y288" t="str">
        <f>IF(C288="","",IF(InventoryTable[[#This Row],[Stock Balance]]&lt;=0,"Sold Out",IF((InventoryTable[[#This Row],[Stock Balance]]/InventoryTable[[#This Row],[Total Pieces]])&lt;=0.25,"Low on Stocks","Available")))</f>
        <v/>
      </c>
    </row>
    <row r="289" spans="1:25" x14ac:dyDescent="0.3">
      <c r="A289" t="str">
        <f>IF(C289="","",_xlfn.CONCAT(LEFT(InventoryTable[[#This Row],[Category]],1),InventoryTable[[#This Row],[Product Pricing Type]],ROW()))</f>
        <v/>
      </c>
      <c r="H289" t="str">
        <f t="shared" ref="H289:H352" si="47">IF(C289="","",G289*F289)</f>
        <v/>
      </c>
      <c r="K289" t="str">
        <f t="shared" ref="K289:K352" si="48">IF(C289="","",IF(J289=1,I289/H289,I289*G289*F289))</f>
        <v/>
      </c>
      <c r="N289" t="str">
        <f t="shared" ref="N289:N352" si="49">IF(C289="","",IF(J289=1,K289+(K289*M289),I289+(I289*M289)))</f>
        <v/>
      </c>
      <c r="P289" t="str">
        <f t="shared" ref="P289:P352" si="50">IF(C289="","",N289+(N289*O289))</f>
        <v/>
      </c>
      <c r="Q289" s="4" t="str">
        <f t="shared" ref="Q289:Q352" si="51">IF(C289="","",ROUNDUP(P289,0))</f>
        <v/>
      </c>
      <c r="R289" t="str">
        <f t="shared" ref="R289:R352" si="52">IF(C289="","")</f>
        <v/>
      </c>
      <c r="S289" t="str">
        <f t="shared" ref="S289:S352" si="53">IF(C289="","",IF(COUNTIF(C289,"*Fixed*")&gt;0,(K289-R289)/H289,IF(J289=1,Q289-K289,Q289-I289)))</f>
        <v/>
      </c>
      <c r="T289" t="str">
        <f>IF(C289="","",InventoryTable[[#This Row],[Profit per Unit]]*InventoryTable[[#This Row],[Total Pieces]])</f>
        <v/>
      </c>
      <c r="U289" t="str">
        <f t="shared" si="44"/>
        <v/>
      </c>
      <c r="V289" t="str">
        <f>IF(C289="","",H289-InventoryTable[[#This Row],[Units Sold]])</f>
        <v/>
      </c>
      <c r="W289" t="str">
        <f t="shared" si="45"/>
        <v/>
      </c>
      <c r="X289" t="str">
        <f t="shared" si="46"/>
        <v/>
      </c>
      <c r="Y289" t="str">
        <f>IF(C289="","",IF(InventoryTable[[#This Row],[Stock Balance]]&lt;=0,"Sold Out",IF((InventoryTable[[#This Row],[Stock Balance]]/InventoryTable[[#This Row],[Total Pieces]])&lt;=0.25,"Low on Stocks","Available")))</f>
        <v/>
      </c>
    </row>
    <row r="290" spans="1:25" x14ac:dyDescent="0.3">
      <c r="A290" t="str">
        <f>IF(C290="","",_xlfn.CONCAT(LEFT(InventoryTable[[#This Row],[Category]],1),InventoryTable[[#This Row],[Product Pricing Type]],ROW()))</f>
        <v/>
      </c>
      <c r="H290" t="str">
        <f t="shared" si="47"/>
        <v/>
      </c>
      <c r="K290" t="str">
        <f t="shared" si="48"/>
        <v/>
      </c>
      <c r="N290" t="str">
        <f t="shared" si="49"/>
        <v/>
      </c>
      <c r="P290" t="str">
        <f t="shared" si="50"/>
        <v/>
      </c>
      <c r="Q290" s="4" t="str">
        <f t="shared" si="51"/>
        <v/>
      </c>
      <c r="R290" t="str">
        <f t="shared" si="52"/>
        <v/>
      </c>
      <c r="S290" t="str">
        <f t="shared" si="53"/>
        <v/>
      </c>
      <c r="T290" t="str">
        <f>IF(C290="","",InventoryTable[[#This Row],[Profit per Unit]]*InventoryTable[[#This Row],[Total Pieces]])</f>
        <v/>
      </c>
      <c r="U290" t="str">
        <f t="shared" si="44"/>
        <v/>
      </c>
      <c r="V290" t="str">
        <f>IF(C290="","",H290-InventoryTable[[#This Row],[Units Sold]])</f>
        <v/>
      </c>
      <c r="W290" t="str">
        <f t="shared" si="45"/>
        <v/>
      </c>
      <c r="X290" t="str">
        <f t="shared" si="46"/>
        <v/>
      </c>
      <c r="Y290" t="str">
        <f>IF(C290="","",IF(InventoryTable[[#This Row],[Stock Balance]]&lt;=0,"Sold Out",IF((InventoryTable[[#This Row],[Stock Balance]]/InventoryTable[[#This Row],[Total Pieces]])&lt;=0.25,"Low on Stocks","Available")))</f>
        <v/>
      </c>
    </row>
    <row r="291" spans="1:25" x14ac:dyDescent="0.3">
      <c r="A291" t="str">
        <f>IF(C291="","",_xlfn.CONCAT(LEFT(InventoryTable[[#This Row],[Category]],1),InventoryTable[[#This Row],[Product Pricing Type]],ROW()))</f>
        <v/>
      </c>
      <c r="H291" t="str">
        <f t="shared" si="47"/>
        <v/>
      </c>
      <c r="K291" t="str">
        <f t="shared" si="48"/>
        <v/>
      </c>
      <c r="N291" t="str">
        <f t="shared" si="49"/>
        <v/>
      </c>
      <c r="P291" t="str">
        <f t="shared" si="50"/>
        <v/>
      </c>
      <c r="Q291" s="4" t="str">
        <f t="shared" si="51"/>
        <v/>
      </c>
      <c r="R291" t="str">
        <f t="shared" si="52"/>
        <v/>
      </c>
      <c r="S291" t="str">
        <f t="shared" si="53"/>
        <v/>
      </c>
      <c r="T291" t="str">
        <f>IF(C291="","",InventoryTable[[#This Row],[Profit per Unit]]*InventoryTable[[#This Row],[Total Pieces]])</f>
        <v/>
      </c>
      <c r="U291" t="str">
        <f t="shared" si="44"/>
        <v/>
      </c>
      <c r="V291" t="str">
        <f>IF(C291="","",H291-InventoryTable[[#This Row],[Units Sold]])</f>
        <v/>
      </c>
      <c r="W291" t="str">
        <f t="shared" si="45"/>
        <v/>
      </c>
      <c r="X291" t="str">
        <f t="shared" si="46"/>
        <v/>
      </c>
      <c r="Y291" t="str">
        <f>IF(C291="","",IF(InventoryTable[[#This Row],[Stock Balance]]&lt;=0,"Sold Out",IF((InventoryTable[[#This Row],[Stock Balance]]/InventoryTable[[#This Row],[Total Pieces]])&lt;=0.25,"Low on Stocks","Available")))</f>
        <v/>
      </c>
    </row>
    <row r="292" spans="1:25" x14ac:dyDescent="0.3">
      <c r="A292" t="str">
        <f>IF(C292="","",_xlfn.CONCAT(LEFT(InventoryTable[[#This Row],[Category]],1),InventoryTable[[#This Row],[Product Pricing Type]],ROW()))</f>
        <v/>
      </c>
      <c r="H292" t="str">
        <f t="shared" si="47"/>
        <v/>
      </c>
      <c r="K292" t="str">
        <f t="shared" si="48"/>
        <v/>
      </c>
      <c r="N292" t="str">
        <f t="shared" si="49"/>
        <v/>
      </c>
      <c r="P292" t="str">
        <f t="shared" si="50"/>
        <v/>
      </c>
      <c r="Q292" s="4" t="str">
        <f t="shared" si="51"/>
        <v/>
      </c>
      <c r="R292" t="str">
        <f t="shared" si="52"/>
        <v/>
      </c>
      <c r="S292" t="str">
        <f t="shared" si="53"/>
        <v/>
      </c>
      <c r="T292" t="str">
        <f>IF(C292="","",InventoryTable[[#This Row],[Profit per Unit]]*InventoryTable[[#This Row],[Total Pieces]])</f>
        <v/>
      </c>
      <c r="U292" t="str">
        <f t="shared" si="44"/>
        <v/>
      </c>
      <c r="V292" t="str">
        <f>IF(C292="","",H292-InventoryTable[[#This Row],[Units Sold]])</f>
        <v/>
      </c>
      <c r="W292" t="str">
        <f t="shared" si="45"/>
        <v/>
      </c>
      <c r="X292" t="str">
        <f t="shared" si="46"/>
        <v/>
      </c>
      <c r="Y292" t="str">
        <f>IF(C292="","",IF(InventoryTable[[#This Row],[Stock Balance]]&lt;=0,"Sold Out",IF((InventoryTable[[#This Row],[Stock Balance]]/InventoryTable[[#This Row],[Total Pieces]])&lt;=0.25,"Low on Stocks","Available")))</f>
        <v/>
      </c>
    </row>
    <row r="293" spans="1:25" x14ac:dyDescent="0.3">
      <c r="A293" t="str">
        <f>IF(C293="","",_xlfn.CONCAT(LEFT(InventoryTable[[#This Row],[Category]],1),InventoryTable[[#This Row],[Product Pricing Type]],ROW()))</f>
        <v/>
      </c>
      <c r="H293" t="str">
        <f t="shared" si="47"/>
        <v/>
      </c>
      <c r="K293" t="str">
        <f t="shared" si="48"/>
        <v/>
      </c>
      <c r="N293" t="str">
        <f t="shared" si="49"/>
        <v/>
      </c>
      <c r="P293" t="str">
        <f t="shared" si="50"/>
        <v/>
      </c>
      <c r="Q293" s="4" t="str">
        <f t="shared" si="51"/>
        <v/>
      </c>
      <c r="R293" t="str">
        <f t="shared" si="52"/>
        <v/>
      </c>
      <c r="S293" t="str">
        <f t="shared" si="53"/>
        <v/>
      </c>
      <c r="T293" t="str">
        <f>IF(C293="","",InventoryTable[[#This Row],[Profit per Unit]]*InventoryTable[[#This Row],[Total Pieces]])</f>
        <v/>
      </c>
      <c r="U293" t="str">
        <f t="shared" si="44"/>
        <v/>
      </c>
      <c r="V293" t="str">
        <f>IF(C293="","",H293-InventoryTable[[#This Row],[Units Sold]])</f>
        <v/>
      </c>
      <c r="W293" t="str">
        <f t="shared" si="45"/>
        <v/>
      </c>
      <c r="X293" t="str">
        <f t="shared" si="46"/>
        <v/>
      </c>
      <c r="Y293" t="str">
        <f>IF(C293="","",IF(InventoryTable[[#This Row],[Stock Balance]]&lt;=0,"Sold Out",IF((InventoryTable[[#This Row],[Stock Balance]]/InventoryTable[[#This Row],[Total Pieces]])&lt;=0.25,"Low on Stocks","Available")))</f>
        <v/>
      </c>
    </row>
    <row r="294" spans="1:25" x14ac:dyDescent="0.3">
      <c r="A294" t="str">
        <f>IF(C294="","",_xlfn.CONCAT(LEFT(InventoryTable[[#This Row],[Category]],1),InventoryTable[[#This Row],[Product Pricing Type]],ROW()))</f>
        <v/>
      </c>
      <c r="H294" t="str">
        <f t="shared" si="47"/>
        <v/>
      </c>
      <c r="K294" t="str">
        <f t="shared" si="48"/>
        <v/>
      </c>
      <c r="N294" t="str">
        <f t="shared" si="49"/>
        <v/>
      </c>
      <c r="P294" t="str">
        <f t="shared" si="50"/>
        <v/>
      </c>
      <c r="Q294" s="4" t="str">
        <f t="shared" si="51"/>
        <v/>
      </c>
      <c r="R294" t="str">
        <f t="shared" si="52"/>
        <v/>
      </c>
      <c r="S294" t="str">
        <f t="shared" si="53"/>
        <v/>
      </c>
      <c r="T294" t="str">
        <f>IF(C294="","",InventoryTable[[#This Row],[Profit per Unit]]*InventoryTable[[#This Row],[Total Pieces]])</f>
        <v/>
      </c>
      <c r="U294" t="str">
        <f t="shared" si="44"/>
        <v/>
      </c>
      <c r="V294" t="str">
        <f>IF(C294="","",H294-InventoryTable[[#This Row],[Units Sold]])</f>
        <v/>
      </c>
      <c r="W294" t="str">
        <f t="shared" si="45"/>
        <v/>
      </c>
      <c r="X294" t="str">
        <f t="shared" si="46"/>
        <v/>
      </c>
      <c r="Y294" t="str">
        <f>IF(C294="","",IF(InventoryTable[[#This Row],[Stock Balance]]&lt;=0,"Sold Out",IF((InventoryTable[[#This Row],[Stock Balance]]/InventoryTable[[#This Row],[Total Pieces]])&lt;=0.25,"Low on Stocks","Available")))</f>
        <v/>
      </c>
    </row>
    <row r="295" spans="1:25" x14ac:dyDescent="0.3">
      <c r="A295" t="str">
        <f>IF(C295="","",_xlfn.CONCAT(LEFT(InventoryTable[[#This Row],[Category]],1),InventoryTable[[#This Row],[Product Pricing Type]],ROW()))</f>
        <v/>
      </c>
      <c r="H295" t="str">
        <f t="shared" si="47"/>
        <v/>
      </c>
      <c r="K295" t="str">
        <f t="shared" si="48"/>
        <v/>
      </c>
      <c r="N295" t="str">
        <f t="shared" si="49"/>
        <v/>
      </c>
      <c r="P295" t="str">
        <f t="shared" si="50"/>
        <v/>
      </c>
      <c r="Q295" s="4" t="str">
        <f t="shared" si="51"/>
        <v/>
      </c>
      <c r="R295" t="str">
        <f t="shared" si="52"/>
        <v/>
      </c>
      <c r="S295" t="str">
        <f t="shared" si="53"/>
        <v/>
      </c>
      <c r="T295" t="str">
        <f>IF(C295="","",InventoryTable[[#This Row],[Profit per Unit]]*InventoryTable[[#This Row],[Total Pieces]])</f>
        <v/>
      </c>
      <c r="U295" t="str">
        <f t="shared" si="44"/>
        <v/>
      </c>
      <c r="V295" t="str">
        <f>IF(C295="","",H295-InventoryTable[[#This Row],[Units Sold]])</f>
        <v/>
      </c>
      <c r="W295" t="str">
        <f t="shared" si="45"/>
        <v/>
      </c>
      <c r="X295" t="str">
        <f t="shared" si="46"/>
        <v/>
      </c>
      <c r="Y295" t="str">
        <f>IF(C295="","",IF(InventoryTable[[#This Row],[Stock Balance]]&lt;=0,"Sold Out",IF((InventoryTable[[#This Row],[Stock Balance]]/InventoryTable[[#This Row],[Total Pieces]])&lt;=0.25,"Low on Stocks","Available")))</f>
        <v/>
      </c>
    </row>
    <row r="296" spans="1:25" x14ac:dyDescent="0.3">
      <c r="A296" t="str">
        <f>IF(C296="","",_xlfn.CONCAT(LEFT(InventoryTable[[#This Row],[Category]],1),InventoryTable[[#This Row],[Product Pricing Type]],ROW()))</f>
        <v/>
      </c>
      <c r="H296" t="str">
        <f t="shared" si="47"/>
        <v/>
      </c>
      <c r="K296" t="str">
        <f t="shared" si="48"/>
        <v/>
      </c>
      <c r="N296" t="str">
        <f t="shared" si="49"/>
        <v/>
      </c>
      <c r="P296" t="str">
        <f t="shared" si="50"/>
        <v/>
      </c>
      <c r="Q296" s="4" t="str">
        <f t="shared" si="51"/>
        <v/>
      </c>
      <c r="R296" t="str">
        <f t="shared" si="52"/>
        <v/>
      </c>
      <c r="S296" t="str">
        <f t="shared" si="53"/>
        <v/>
      </c>
      <c r="T296" t="str">
        <f>IF(C296="","",InventoryTable[[#This Row],[Profit per Unit]]*InventoryTable[[#This Row],[Total Pieces]])</f>
        <v/>
      </c>
      <c r="U296" t="str">
        <f t="shared" si="44"/>
        <v/>
      </c>
      <c r="V296" t="str">
        <f>IF(C296="","",H296-InventoryTable[[#This Row],[Units Sold]])</f>
        <v/>
      </c>
      <c r="W296" t="str">
        <f t="shared" si="45"/>
        <v/>
      </c>
      <c r="X296" t="str">
        <f t="shared" si="46"/>
        <v/>
      </c>
      <c r="Y296" t="str">
        <f>IF(C296="","",IF(InventoryTable[[#This Row],[Stock Balance]]&lt;=0,"Sold Out",IF((InventoryTable[[#This Row],[Stock Balance]]/InventoryTable[[#This Row],[Total Pieces]])&lt;=0.25,"Low on Stocks","Available")))</f>
        <v/>
      </c>
    </row>
    <row r="297" spans="1:25" x14ac:dyDescent="0.3">
      <c r="A297" t="str">
        <f>IF(C297="","",_xlfn.CONCAT(LEFT(InventoryTable[[#This Row],[Category]],1),InventoryTable[[#This Row],[Product Pricing Type]],ROW()))</f>
        <v/>
      </c>
      <c r="H297" t="str">
        <f t="shared" si="47"/>
        <v/>
      </c>
      <c r="K297" t="str">
        <f t="shared" si="48"/>
        <v/>
      </c>
      <c r="N297" t="str">
        <f t="shared" si="49"/>
        <v/>
      </c>
      <c r="P297" t="str">
        <f t="shared" si="50"/>
        <v/>
      </c>
      <c r="Q297" s="4" t="str">
        <f t="shared" si="51"/>
        <v/>
      </c>
      <c r="R297" t="str">
        <f t="shared" si="52"/>
        <v/>
      </c>
      <c r="S297" t="str">
        <f t="shared" si="53"/>
        <v/>
      </c>
      <c r="T297" t="str">
        <f>IF(C297="","",InventoryTable[[#This Row],[Profit per Unit]]*InventoryTable[[#This Row],[Total Pieces]])</f>
        <v/>
      </c>
      <c r="U297" t="str">
        <f t="shared" si="44"/>
        <v/>
      </c>
      <c r="V297" t="str">
        <f>IF(C297="","",H297-InventoryTable[[#This Row],[Units Sold]])</f>
        <v/>
      </c>
      <c r="W297" t="str">
        <f t="shared" si="45"/>
        <v/>
      </c>
      <c r="X297" t="str">
        <f t="shared" si="46"/>
        <v/>
      </c>
      <c r="Y297" t="str">
        <f>IF(C297="","",IF(InventoryTable[[#This Row],[Stock Balance]]&lt;=0,"Sold Out",IF((InventoryTable[[#This Row],[Stock Balance]]/InventoryTable[[#This Row],[Total Pieces]])&lt;=0.25,"Low on Stocks","Available")))</f>
        <v/>
      </c>
    </row>
    <row r="298" spans="1:25" x14ac:dyDescent="0.3">
      <c r="A298" t="str">
        <f>IF(C298="","",_xlfn.CONCAT(LEFT(InventoryTable[[#This Row],[Category]],1),InventoryTable[[#This Row],[Product Pricing Type]],ROW()))</f>
        <v/>
      </c>
      <c r="H298" t="str">
        <f t="shared" si="47"/>
        <v/>
      </c>
      <c r="K298" t="str">
        <f t="shared" si="48"/>
        <v/>
      </c>
      <c r="N298" t="str">
        <f t="shared" si="49"/>
        <v/>
      </c>
      <c r="P298" t="str">
        <f t="shared" si="50"/>
        <v/>
      </c>
      <c r="Q298" s="4" t="str">
        <f t="shared" si="51"/>
        <v/>
      </c>
      <c r="R298" t="str">
        <f t="shared" si="52"/>
        <v/>
      </c>
      <c r="S298" t="str">
        <f t="shared" si="53"/>
        <v/>
      </c>
      <c r="T298" t="str">
        <f>IF(C298="","",InventoryTable[[#This Row],[Profit per Unit]]*InventoryTable[[#This Row],[Total Pieces]])</f>
        <v/>
      </c>
      <c r="U298" t="str">
        <f t="shared" si="44"/>
        <v/>
      </c>
      <c r="V298" t="str">
        <f>IF(C298="","",H298-InventoryTable[[#This Row],[Units Sold]])</f>
        <v/>
      </c>
      <c r="W298" t="str">
        <f t="shared" si="45"/>
        <v/>
      </c>
      <c r="X298" t="str">
        <f t="shared" si="46"/>
        <v/>
      </c>
      <c r="Y298" t="str">
        <f>IF(C298="","",IF(InventoryTable[[#This Row],[Stock Balance]]&lt;=0,"Sold Out",IF((InventoryTable[[#This Row],[Stock Balance]]/InventoryTable[[#This Row],[Total Pieces]])&lt;=0.25,"Low on Stocks","Available")))</f>
        <v/>
      </c>
    </row>
    <row r="299" spans="1:25" x14ac:dyDescent="0.3">
      <c r="A299" t="str">
        <f>IF(C299="","",_xlfn.CONCAT(LEFT(InventoryTable[[#This Row],[Category]],1),InventoryTable[[#This Row],[Product Pricing Type]],ROW()))</f>
        <v/>
      </c>
      <c r="H299" t="str">
        <f t="shared" si="47"/>
        <v/>
      </c>
      <c r="K299" t="str">
        <f t="shared" si="48"/>
        <v/>
      </c>
      <c r="N299" t="str">
        <f t="shared" si="49"/>
        <v/>
      </c>
      <c r="P299" t="str">
        <f t="shared" si="50"/>
        <v/>
      </c>
      <c r="Q299" s="4" t="str">
        <f t="shared" si="51"/>
        <v/>
      </c>
      <c r="R299" t="str">
        <f t="shared" si="52"/>
        <v/>
      </c>
      <c r="S299" t="str">
        <f t="shared" si="53"/>
        <v/>
      </c>
      <c r="T299" t="str">
        <f>IF(C299="","",InventoryTable[[#This Row],[Profit per Unit]]*InventoryTable[[#This Row],[Total Pieces]])</f>
        <v/>
      </c>
      <c r="U299" t="str">
        <f t="shared" si="44"/>
        <v/>
      </c>
      <c r="V299" t="str">
        <f>IF(C299="","",H299-InventoryTable[[#This Row],[Units Sold]])</f>
        <v/>
      </c>
      <c r="W299" t="str">
        <f t="shared" si="45"/>
        <v/>
      </c>
      <c r="X299" t="str">
        <f t="shared" si="46"/>
        <v/>
      </c>
      <c r="Y299" t="str">
        <f>IF(C299="","",IF(InventoryTable[[#This Row],[Stock Balance]]&lt;=0,"Sold Out",IF((InventoryTable[[#This Row],[Stock Balance]]/InventoryTable[[#This Row],[Total Pieces]])&lt;=0.25,"Low on Stocks","Available")))</f>
        <v/>
      </c>
    </row>
    <row r="300" spans="1:25" x14ac:dyDescent="0.3">
      <c r="A300" t="str">
        <f>IF(C300="","",_xlfn.CONCAT(LEFT(InventoryTable[[#This Row],[Category]],1),InventoryTable[[#This Row],[Product Pricing Type]],ROW()))</f>
        <v/>
      </c>
      <c r="H300" t="str">
        <f t="shared" si="47"/>
        <v/>
      </c>
      <c r="K300" t="str">
        <f t="shared" si="48"/>
        <v/>
      </c>
      <c r="N300" t="str">
        <f t="shared" si="49"/>
        <v/>
      </c>
      <c r="P300" t="str">
        <f t="shared" si="50"/>
        <v/>
      </c>
      <c r="Q300" s="4" t="str">
        <f t="shared" si="51"/>
        <v/>
      </c>
      <c r="R300" t="str">
        <f t="shared" si="52"/>
        <v/>
      </c>
      <c r="S300" t="str">
        <f t="shared" si="53"/>
        <v/>
      </c>
      <c r="T300" t="str">
        <f>IF(C300="","",InventoryTable[[#This Row],[Profit per Unit]]*InventoryTable[[#This Row],[Total Pieces]])</f>
        <v/>
      </c>
      <c r="U300" t="str">
        <f t="shared" si="44"/>
        <v/>
      </c>
      <c r="V300" t="str">
        <f>IF(C300="","",H300-InventoryTable[[#This Row],[Units Sold]])</f>
        <v/>
      </c>
      <c r="W300" t="str">
        <f t="shared" si="45"/>
        <v/>
      </c>
      <c r="X300" t="str">
        <f t="shared" si="46"/>
        <v/>
      </c>
      <c r="Y300" t="str">
        <f>IF(C300="","",IF(InventoryTable[[#This Row],[Stock Balance]]&lt;=0,"Sold Out",IF((InventoryTable[[#This Row],[Stock Balance]]/InventoryTable[[#This Row],[Total Pieces]])&lt;=0.25,"Low on Stocks","Available")))</f>
        <v/>
      </c>
    </row>
    <row r="301" spans="1:25" x14ac:dyDescent="0.3">
      <c r="A301" t="str">
        <f>IF(C301="","",_xlfn.CONCAT(LEFT(InventoryTable[[#This Row],[Category]],1),InventoryTable[[#This Row],[Product Pricing Type]],ROW()))</f>
        <v/>
      </c>
      <c r="H301" t="str">
        <f t="shared" si="47"/>
        <v/>
      </c>
      <c r="K301" t="str">
        <f t="shared" si="48"/>
        <v/>
      </c>
      <c r="N301" t="str">
        <f t="shared" si="49"/>
        <v/>
      </c>
      <c r="P301" t="str">
        <f t="shared" si="50"/>
        <v/>
      </c>
      <c r="Q301" s="4" t="str">
        <f t="shared" si="51"/>
        <v/>
      </c>
      <c r="R301" t="str">
        <f t="shared" si="52"/>
        <v/>
      </c>
      <c r="S301" t="str">
        <f t="shared" si="53"/>
        <v/>
      </c>
      <c r="T301" t="str">
        <f>IF(C301="","",InventoryTable[[#This Row],[Profit per Unit]]*InventoryTable[[#This Row],[Total Pieces]])</f>
        <v/>
      </c>
      <c r="U301" t="str">
        <f t="shared" si="44"/>
        <v/>
      </c>
      <c r="V301" t="str">
        <f>IF(C301="","",H301-InventoryTable[[#This Row],[Units Sold]])</f>
        <v/>
      </c>
      <c r="W301" t="str">
        <f t="shared" si="45"/>
        <v/>
      </c>
      <c r="X301" t="str">
        <f t="shared" si="46"/>
        <v/>
      </c>
      <c r="Y301" t="str">
        <f>IF(C301="","",IF(InventoryTable[[#This Row],[Stock Balance]]&lt;=0,"Sold Out",IF((InventoryTable[[#This Row],[Stock Balance]]/InventoryTable[[#This Row],[Total Pieces]])&lt;=0.25,"Low on Stocks","Available")))</f>
        <v/>
      </c>
    </row>
    <row r="302" spans="1:25" x14ac:dyDescent="0.3">
      <c r="A302" t="str">
        <f>IF(C302="","",_xlfn.CONCAT(LEFT(InventoryTable[[#This Row],[Category]],1),InventoryTable[[#This Row],[Product Pricing Type]],ROW()))</f>
        <v/>
      </c>
      <c r="H302" t="str">
        <f t="shared" si="47"/>
        <v/>
      </c>
      <c r="K302" t="str">
        <f t="shared" si="48"/>
        <v/>
      </c>
      <c r="N302" t="str">
        <f t="shared" si="49"/>
        <v/>
      </c>
      <c r="P302" t="str">
        <f t="shared" si="50"/>
        <v/>
      </c>
      <c r="Q302" s="4" t="str">
        <f t="shared" si="51"/>
        <v/>
      </c>
      <c r="R302" t="str">
        <f t="shared" si="52"/>
        <v/>
      </c>
      <c r="S302" t="str">
        <f t="shared" si="53"/>
        <v/>
      </c>
      <c r="T302" t="str">
        <f>IF(C302="","",InventoryTable[[#This Row],[Profit per Unit]]*InventoryTable[[#This Row],[Total Pieces]])</f>
        <v/>
      </c>
      <c r="U302" t="str">
        <f t="shared" si="44"/>
        <v/>
      </c>
      <c r="V302" t="str">
        <f>IF(C302="","",H302-InventoryTable[[#This Row],[Units Sold]])</f>
        <v/>
      </c>
      <c r="W302" t="str">
        <f t="shared" si="45"/>
        <v/>
      </c>
      <c r="X302" t="str">
        <f t="shared" si="46"/>
        <v/>
      </c>
      <c r="Y302" t="str">
        <f>IF(C302="","",IF(InventoryTable[[#This Row],[Stock Balance]]&lt;=0,"Sold Out",IF((InventoryTable[[#This Row],[Stock Balance]]/InventoryTable[[#This Row],[Total Pieces]])&lt;=0.25,"Low on Stocks","Available")))</f>
        <v/>
      </c>
    </row>
    <row r="303" spans="1:25" x14ac:dyDescent="0.3">
      <c r="A303" t="str">
        <f>IF(C303="","",_xlfn.CONCAT(LEFT(InventoryTable[[#This Row],[Category]],1),InventoryTable[[#This Row],[Product Pricing Type]],ROW()))</f>
        <v/>
      </c>
      <c r="H303" t="str">
        <f t="shared" si="47"/>
        <v/>
      </c>
      <c r="K303" t="str">
        <f t="shared" si="48"/>
        <v/>
      </c>
      <c r="N303" t="str">
        <f t="shared" si="49"/>
        <v/>
      </c>
      <c r="P303" t="str">
        <f t="shared" si="50"/>
        <v/>
      </c>
      <c r="Q303" s="4" t="str">
        <f t="shared" si="51"/>
        <v/>
      </c>
      <c r="R303" t="str">
        <f t="shared" si="52"/>
        <v/>
      </c>
      <c r="S303" t="str">
        <f t="shared" si="53"/>
        <v/>
      </c>
      <c r="T303" t="str">
        <f>IF(C303="","",InventoryTable[[#This Row],[Profit per Unit]]*InventoryTable[[#This Row],[Total Pieces]])</f>
        <v/>
      </c>
      <c r="U303" t="str">
        <f t="shared" si="44"/>
        <v/>
      </c>
      <c r="V303" t="str">
        <f>IF(C303="","",H303-InventoryTable[[#This Row],[Units Sold]])</f>
        <v/>
      </c>
      <c r="W303" t="str">
        <f t="shared" si="45"/>
        <v/>
      </c>
      <c r="X303" t="str">
        <f t="shared" si="46"/>
        <v/>
      </c>
      <c r="Y303" t="str">
        <f>IF(C303="","",IF(InventoryTable[[#This Row],[Stock Balance]]&lt;=0,"Sold Out",IF((InventoryTable[[#This Row],[Stock Balance]]/InventoryTable[[#This Row],[Total Pieces]])&lt;=0.25,"Low on Stocks","Available")))</f>
        <v/>
      </c>
    </row>
    <row r="304" spans="1:25" x14ac:dyDescent="0.3">
      <c r="A304" t="str">
        <f>IF(C304="","",_xlfn.CONCAT(LEFT(InventoryTable[[#This Row],[Category]],1),InventoryTable[[#This Row],[Product Pricing Type]],ROW()))</f>
        <v/>
      </c>
      <c r="H304" t="str">
        <f t="shared" si="47"/>
        <v/>
      </c>
      <c r="K304" t="str">
        <f t="shared" si="48"/>
        <v/>
      </c>
      <c r="N304" t="str">
        <f t="shared" si="49"/>
        <v/>
      </c>
      <c r="P304" t="str">
        <f t="shared" si="50"/>
        <v/>
      </c>
      <c r="Q304" s="4" t="str">
        <f t="shared" si="51"/>
        <v/>
      </c>
      <c r="R304" t="str">
        <f t="shared" si="52"/>
        <v/>
      </c>
      <c r="S304" t="str">
        <f t="shared" si="53"/>
        <v/>
      </c>
      <c r="T304" t="str">
        <f>IF(C304="","",InventoryTable[[#This Row],[Profit per Unit]]*InventoryTable[[#This Row],[Total Pieces]])</f>
        <v/>
      </c>
      <c r="U304" t="str">
        <f t="shared" si="44"/>
        <v/>
      </c>
      <c r="V304" t="str">
        <f>IF(C304="","",H304-InventoryTable[[#This Row],[Units Sold]])</f>
        <v/>
      </c>
      <c r="W304" t="str">
        <f t="shared" si="45"/>
        <v/>
      </c>
      <c r="X304" t="str">
        <f t="shared" si="46"/>
        <v/>
      </c>
      <c r="Y304" t="str">
        <f>IF(C304="","",IF(InventoryTable[[#This Row],[Stock Balance]]&lt;=0,"Sold Out",IF((InventoryTable[[#This Row],[Stock Balance]]/InventoryTable[[#This Row],[Total Pieces]])&lt;=0.25,"Low on Stocks","Available")))</f>
        <v/>
      </c>
    </row>
    <row r="305" spans="1:25" x14ac:dyDescent="0.3">
      <c r="A305" t="str">
        <f>IF(C305="","",_xlfn.CONCAT(LEFT(InventoryTable[[#This Row],[Category]],1),InventoryTable[[#This Row],[Product Pricing Type]],ROW()))</f>
        <v/>
      </c>
      <c r="H305" t="str">
        <f t="shared" si="47"/>
        <v/>
      </c>
      <c r="K305" t="str">
        <f t="shared" si="48"/>
        <v/>
      </c>
      <c r="N305" t="str">
        <f t="shared" si="49"/>
        <v/>
      </c>
      <c r="P305" t="str">
        <f t="shared" si="50"/>
        <v/>
      </c>
      <c r="Q305" s="4" t="str">
        <f t="shared" si="51"/>
        <v/>
      </c>
      <c r="R305" t="str">
        <f t="shared" si="52"/>
        <v/>
      </c>
      <c r="S305" t="str">
        <f t="shared" si="53"/>
        <v/>
      </c>
      <c r="T305" t="str">
        <f>IF(C305="","",InventoryTable[[#This Row],[Profit per Unit]]*InventoryTable[[#This Row],[Total Pieces]])</f>
        <v/>
      </c>
      <c r="U305" t="str">
        <f t="shared" si="44"/>
        <v/>
      </c>
      <c r="V305" t="str">
        <f>IF(C305="","",H305-InventoryTable[[#This Row],[Units Sold]])</f>
        <v/>
      </c>
      <c r="W305" t="str">
        <f t="shared" si="45"/>
        <v/>
      </c>
      <c r="X305" t="str">
        <f t="shared" si="46"/>
        <v/>
      </c>
      <c r="Y305" t="str">
        <f>IF(C305="","",IF(InventoryTable[[#This Row],[Stock Balance]]&lt;=0,"Sold Out",IF((InventoryTable[[#This Row],[Stock Balance]]/InventoryTable[[#This Row],[Total Pieces]])&lt;=0.25,"Low on Stocks","Available")))</f>
        <v/>
      </c>
    </row>
    <row r="306" spans="1:25" x14ac:dyDescent="0.3">
      <c r="A306" t="str">
        <f>IF(C306="","",_xlfn.CONCAT(LEFT(InventoryTable[[#This Row],[Category]],1),InventoryTable[[#This Row],[Product Pricing Type]],ROW()))</f>
        <v/>
      </c>
      <c r="H306" t="str">
        <f t="shared" si="47"/>
        <v/>
      </c>
      <c r="K306" t="str">
        <f t="shared" si="48"/>
        <v/>
      </c>
      <c r="N306" t="str">
        <f t="shared" si="49"/>
        <v/>
      </c>
      <c r="P306" t="str">
        <f t="shared" si="50"/>
        <v/>
      </c>
      <c r="Q306" s="4" t="str">
        <f t="shared" si="51"/>
        <v/>
      </c>
      <c r="R306" t="str">
        <f t="shared" si="52"/>
        <v/>
      </c>
      <c r="S306" t="str">
        <f t="shared" si="53"/>
        <v/>
      </c>
      <c r="T306" t="str">
        <f>IF(C306="","",InventoryTable[[#This Row],[Profit per Unit]]*InventoryTable[[#This Row],[Total Pieces]])</f>
        <v/>
      </c>
      <c r="U306" t="str">
        <f t="shared" si="44"/>
        <v/>
      </c>
      <c r="V306" t="str">
        <f>IF(C306="","",H306-InventoryTable[[#This Row],[Units Sold]])</f>
        <v/>
      </c>
      <c r="W306" t="str">
        <f t="shared" si="45"/>
        <v/>
      </c>
      <c r="X306" t="str">
        <f t="shared" si="46"/>
        <v/>
      </c>
      <c r="Y306" t="str">
        <f>IF(C306="","",IF(InventoryTable[[#This Row],[Stock Balance]]&lt;=0,"Sold Out",IF((InventoryTable[[#This Row],[Stock Balance]]/InventoryTable[[#This Row],[Total Pieces]])&lt;=0.25,"Low on Stocks","Available")))</f>
        <v/>
      </c>
    </row>
    <row r="307" spans="1:25" x14ac:dyDescent="0.3">
      <c r="A307" t="str">
        <f>IF(C307="","",_xlfn.CONCAT(LEFT(InventoryTable[[#This Row],[Category]],1),InventoryTable[[#This Row],[Product Pricing Type]],ROW()))</f>
        <v/>
      </c>
      <c r="H307" t="str">
        <f t="shared" si="47"/>
        <v/>
      </c>
      <c r="K307" t="str">
        <f t="shared" si="48"/>
        <v/>
      </c>
      <c r="N307" t="str">
        <f t="shared" si="49"/>
        <v/>
      </c>
      <c r="P307" t="str">
        <f t="shared" si="50"/>
        <v/>
      </c>
      <c r="Q307" s="4" t="str">
        <f t="shared" si="51"/>
        <v/>
      </c>
      <c r="R307" t="str">
        <f t="shared" si="52"/>
        <v/>
      </c>
      <c r="S307" t="str">
        <f t="shared" si="53"/>
        <v/>
      </c>
      <c r="T307" t="str">
        <f>IF(C307="","",InventoryTable[[#This Row],[Profit per Unit]]*InventoryTable[[#This Row],[Total Pieces]])</f>
        <v/>
      </c>
      <c r="U307" t="str">
        <f t="shared" si="44"/>
        <v/>
      </c>
      <c r="V307" t="str">
        <f>IF(C307="","",H307-InventoryTable[[#This Row],[Units Sold]])</f>
        <v/>
      </c>
      <c r="W307" t="str">
        <f t="shared" si="45"/>
        <v/>
      </c>
      <c r="X307" t="str">
        <f t="shared" si="46"/>
        <v/>
      </c>
      <c r="Y307" t="str">
        <f>IF(C307="","",IF(InventoryTable[[#This Row],[Stock Balance]]&lt;=0,"Sold Out",IF((InventoryTable[[#This Row],[Stock Balance]]/InventoryTable[[#This Row],[Total Pieces]])&lt;=0.25,"Low on Stocks","Available")))</f>
        <v/>
      </c>
    </row>
    <row r="308" spans="1:25" x14ac:dyDescent="0.3">
      <c r="A308" t="str">
        <f>IF(C308="","",_xlfn.CONCAT(LEFT(InventoryTable[[#This Row],[Category]],1),InventoryTable[[#This Row],[Product Pricing Type]],ROW()))</f>
        <v/>
      </c>
      <c r="H308" t="str">
        <f t="shared" si="47"/>
        <v/>
      </c>
      <c r="K308" t="str">
        <f t="shared" si="48"/>
        <v/>
      </c>
      <c r="N308" t="str">
        <f t="shared" si="49"/>
        <v/>
      </c>
      <c r="P308" t="str">
        <f t="shared" si="50"/>
        <v/>
      </c>
      <c r="Q308" s="4" t="str">
        <f t="shared" si="51"/>
        <v/>
      </c>
      <c r="R308" t="str">
        <f t="shared" si="52"/>
        <v/>
      </c>
      <c r="S308" t="str">
        <f t="shared" si="53"/>
        <v/>
      </c>
      <c r="T308" t="str">
        <f>IF(C308="","",InventoryTable[[#This Row],[Profit per Unit]]*InventoryTable[[#This Row],[Total Pieces]])</f>
        <v/>
      </c>
      <c r="U308" t="str">
        <f t="shared" si="44"/>
        <v/>
      </c>
      <c r="V308" t="str">
        <f>IF(C308="","",H308-InventoryTable[[#This Row],[Units Sold]])</f>
        <v/>
      </c>
      <c r="W308" t="str">
        <f t="shared" si="45"/>
        <v/>
      </c>
      <c r="X308" t="str">
        <f t="shared" si="46"/>
        <v/>
      </c>
      <c r="Y308" t="str">
        <f>IF(C308="","",IF(InventoryTable[[#This Row],[Stock Balance]]&lt;=0,"Sold Out",IF((InventoryTable[[#This Row],[Stock Balance]]/InventoryTable[[#This Row],[Total Pieces]])&lt;=0.25,"Low on Stocks","Available")))</f>
        <v/>
      </c>
    </row>
    <row r="309" spans="1:25" x14ac:dyDescent="0.3">
      <c r="A309" t="str">
        <f>IF(C309="","",_xlfn.CONCAT(LEFT(InventoryTable[[#This Row],[Category]],1),InventoryTable[[#This Row],[Product Pricing Type]],ROW()))</f>
        <v/>
      </c>
      <c r="H309" t="str">
        <f t="shared" si="47"/>
        <v/>
      </c>
      <c r="K309" t="str">
        <f t="shared" si="48"/>
        <v/>
      </c>
      <c r="N309" t="str">
        <f t="shared" si="49"/>
        <v/>
      </c>
      <c r="P309" t="str">
        <f t="shared" si="50"/>
        <v/>
      </c>
      <c r="Q309" s="4" t="str">
        <f t="shared" si="51"/>
        <v/>
      </c>
      <c r="R309" t="str">
        <f t="shared" si="52"/>
        <v/>
      </c>
      <c r="S309" t="str">
        <f t="shared" si="53"/>
        <v/>
      </c>
      <c r="T309" t="str">
        <f>IF(C309="","",InventoryTable[[#This Row],[Profit per Unit]]*InventoryTable[[#This Row],[Total Pieces]])</f>
        <v/>
      </c>
      <c r="U309" t="str">
        <f t="shared" si="44"/>
        <v/>
      </c>
      <c r="V309" t="str">
        <f>IF(C309="","",H309-InventoryTable[[#This Row],[Units Sold]])</f>
        <v/>
      </c>
      <c r="W309" t="str">
        <f t="shared" si="45"/>
        <v/>
      </c>
      <c r="X309" t="str">
        <f t="shared" si="46"/>
        <v/>
      </c>
      <c r="Y309" t="str">
        <f>IF(C309="","",IF(InventoryTable[[#This Row],[Stock Balance]]&lt;=0,"Sold Out",IF((InventoryTable[[#This Row],[Stock Balance]]/InventoryTable[[#This Row],[Total Pieces]])&lt;=0.25,"Low on Stocks","Available")))</f>
        <v/>
      </c>
    </row>
    <row r="310" spans="1:25" x14ac:dyDescent="0.3">
      <c r="A310" t="str">
        <f>IF(C310="","",_xlfn.CONCAT(LEFT(InventoryTable[[#This Row],[Category]],1),InventoryTable[[#This Row],[Product Pricing Type]],ROW()))</f>
        <v/>
      </c>
      <c r="H310" t="str">
        <f t="shared" si="47"/>
        <v/>
      </c>
      <c r="K310" t="str">
        <f t="shared" si="48"/>
        <v/>
      </c>
      <c r="N310" t="str">
        <f t="shared" si="49"/>
        <v/>
      </c>
      <c r="P310" t="str">
        <f t="shared" si="50"/>
        <v/>
      </c>
      <c r="Q310" s="4" t="str">
        <f t="shared" si="51"/>
        <v/>
      </c>
      <c r="R310" t="str">
        <f t="shared" si="52"/>
        <v/>
      </c>
      <c r="S310" t="str">
        <f t="shared" si="53"/>
        <v/>
      </c>
      <c r="T310" t="str">
        <f>IF(C310="","",InventoryTable[[#This Row],[Profit per Unit]]*InventoryTable[[#This Row],[Total Pieces]])</f>
        <v/>
      </c>
      <c r="U310" t="str">
        <f t="shared" si="44"/>
        <v/>
      </c>
      <c r="V310" t="str">
        <f>IF(C310="","",H310-InventoryTable[[#This Row],[Units Sold]])</f>
        <v/>
      </c>
      <c r="W310" t="str">
        <f t="shared" si="45"/>
        <v/>
      </c>
      <c r="X310" t="str">
        <f t="shared" si="46"/>
        <v/>
      </c>
      <c r="Y310" t="str">
        <f>IF(C310="","",IF(InventoryTable[[#This Row],[Stock Balance]]&lt;=0,"Sold Out",IF((InventoryTable[[#This Row],[Stock Balance]]/InventoryTable[[#This Row],[Total Pieces]])&lt;=0.25,"Low on Stocks","Available")))</f>
        <v/>
      </c>
    </row>
    <row r="311" spans="1:25" x14ac:dyDescent="0.3">
      <c r="A311" t="str">
        <f>IF(C311="","",_xlfn.CONCAT(LEFT(InventoryTable[[#This Row],[Category]],1),InventoryTable[[#This Row],[Product Pricing Type]],ROW()))</f>
        <v/>
      </c>
      <c r="H311" t="str">
        <f t="shared" si="47"/>
        <v/>
      </c>
      <c r="K311" t="str">
        <f t="shared" si="48"/>
        <v/>
      </c>
      <c r="N311" t="str">
        <f t="shared" si="49"/>
        <v/>
      </c>
      <c r="P311" t="str">
        <f t="shared" si="50"/>
        <v/>
      </c>
      <c r="Q311" s="4" t="str">
        <f t="shared" si="51"/>
        <v/>
      </c>
      <c r="R311" t="str">
        <f t="shared" si="52"/>
        <v/>
      </c>
      <c r="S311" t="str">
        <f t="shared" si="53"/>
        <v/>
      </c>
      <c r="T311" t="str">
        <f>IF(C311="","",InventoryTable[[#This Row],[Profit per Unit]]*InventoryTable[[#This Row],[Total Pieces]])</f>
        <v/>
      </c>
      <c r="U311" t="str">
        <f t="shared" si="44"/>
        <v/>
      </c>
      <c r="V311" t="str">
        <f>IF(C311="","",H311-InventoryTable[[#This Row],[Units Sold]])</f>
        <v/>
      </c>
      <c r="W311" t="str">
        <f t="shared" si="45"/>
        <v/>
      </c>
      <c r="X311" t="str">
        <f t="shared" si="46"/>
        <v/>
      </c>
      <c r="Y311" t="str">
        <f>IF(C311="","",IF(InventoryTable[[#This Row],[Stock Balance]]&lt;=0,"Sold Out",IF((InventoryTable[[#This Row],[Stock Balance]]/InventoryTable[[#This Row],[Total Pieces]])&lt;=0.25,"Low on Stocks","Available")))</f>
        <v/>
      </c>
    </row>
    <row r="312" spans="1:25" x14ac:dyDescent="0.3">
      <c r="A312" t="str">
        <f>IF(C312="","",_xlfn.CONCAT(LEFT(InventoryTable[[#This Row],[Category]],1),InventoryTable[[#This Row],[Product Pricing Type]],ROW()))</f>
        <v/>
      </c>
      <c r="H312" t="str">
        <f t="shared" si="47"/>
        <v/>
      </c>
      <c r="K312" t="str">
        <f t="shared" si="48"/>
        <v/>
      </c>
      <c r="N312" t="str">
        <f t="shared" si="49"/>
        <v/>
      </c>
      <c r="P312" t="str">
        <f t="shared" si="50"/>
        <v/>
      </c>
      <c r="Q312" s="4" t="str">
        <f t="shared" si="51"/>
        <v/>
      </c>
      <c r="R312" t="str">
        <f t="shared" si="52"/>
        <v/>
      </c>
      <c r="S312" t="str">
        <f t="shared" si="53"/>
        <v/>
      </c>
      <c r="T312" t="str">
        <f>IF(C312="","",InventoryTable[[#This Row],[Profit per Unit]]*InventoryTable[[#This Row],[Total Pieces]])</f>
        <v/>
      </c>
      <c r="U312" t="str">
        <f t="shared" si="44"/>
        <v/>
      </c>
      <c r="V312" t="str">
        <f>IF(C312="","",H312-InventoryTable[[#This Row],[Units Sold]])</f>
        <v/>
      </c>
      <c r="W312" t="str">
        <f t="shared" si="45"/>
        <v/>
      </c>
      <c r="X312" t="str">
        <f t="shared" si="46"/>
        <v/>
      </c>
      <c r="Y312" t="str">
        <f>IF(C312="","",IF(InventoryTable[[#This Row],[Stock Balance]]&lt;=0,"Sold Out",IF((InventoryTable[[#This Row],[Stock Balance]]/InventoryTable[[#This Row],[Total Pieces]])&lt;=0.25,"Low on Stocks","Available")))</f>
        <v/>
      </c>
    </row>
    <row r="313" spans="1:25" x14ac:dyDescent="0.3">
      <c r="A313" t="str">
        <f>IF(C313="","",_xlfn.CONCAT(LEFT(InventoryTable[[#This Row],[Category]],1),InventoryTable[[#This Row],[Product Pricing Type]],ROW()))</f>
        <v/>
      </c>
      <c r="H313" t="str">
        <f t="shared" si="47"/>
        <v/>
      </c>
      <c r="K313" t="str">
        <f t="shared" si="48"/>
        <v/>
      </c>
      <c r="N313" t="str">
        <f t="shared" si="49"/>
        <v/>
      </c>
      <c r="P313" t="str">
        <f t="shared" si="50"/>
        <v/>
      </c>
      <c r="Q313" s="4" t="str">
        <f t="shared" si="51"/>
        <v/>
      </c>
      <c r="R313" t="str">
        <f t="shared" si="52"/>
        <v/>
      </c>
      <c r="S313" t="str">
        <f t="shared" si="53"/>
        <v/>
      </c>
      <c r="T313" t="str">
        <f>IF(C313="","",InventoryTable[[#This Row],[Profit per Unit]]*InventoryTable[[#This Row],[Total Pieces]])</f>
        <v/>
      </c>
      <c r="U313" t="str">
        <f t="shared" si="44"/>
        <v/>
      </c>
      <c r="V313" t="str">
        <f>IF(C313="","",H313-InventoryTable[[#This Row],[Units Sold]])</f>
        <v/>
      </c>
      <c r="W313" t="str">
        <f t="shared" si="45"/>
        <v/>
      </c>
      <c r="X313" t="str">
        <f t="shared" si="46"/>
        <v/>
      </c>
      <c r="Y313" t="str">
        <f>IF(C313="","",IF(InventoryTable[[#This Row],[Stock Balance]]&lt;=0,"Sold Out",IF((InventoryTable[[#This Row],[Stock Balance]]/InventoryTable[[#This Row],[Total Pieces]])&lt;=0.25,"Low on Stocks","Available")))</f>
        <v/>
      </c>
    </row>
    <row r="314" spans="1:25" x14ac:dyDescent="0.3">
      <c r="A314" t="str">
        <f>IF(C314="","",_xlfn.CONCAT(LEFT(InventoryTable[[#This Row],[Category]],1),InventoryTable[[#This Row],[Product Pricing Type]],ROW()))</f>
        <v/>
      </c>
      <c r="H314" t="str">
        <f t="shared" si="47"/>
        <v/>
      </c>
      <c r="K314" t="str">
        <f t="shared" si="48"/>
        <v/>
      </c>
      <c r="N314" t="str">
        <f t="shared" si="49"/>
        <v/>
      </c>
      <c r="P314" t="str">
        <f t="shared" si="50"/>
        <v/>
      </c>
      <c r="Q314" s="4" t="str">
        <f t="shared" si="51"/>
        <v/>
      </c>
      <c r="R314" t="str">
        <f t="shared" si="52"/>
        <v/>
      </c>
      <c r="S314" t="str">
        <f t="shared" si="53"/>
        <v/>
      </c>
      <c r="T314" t="str">
        <f>IF(C314="","",InventoryTable[[#This Row],[Profit per Unit]]*InventoryTable[[#This Row],[Total Pieces]])</f>
        <v/>
      </c>
      <c r="U314" t="str">
        <f t="shared" si="44"/>
        <v/>
      </c>
      <c r="V314" t="str">
        <f>IF(C314="","",H314-InventoryTable[[#This Row],[Units Sold]])</f>
        <v/>
      </c>
      <c r="W314" t="str">
        <f t="shared" si="45"/>
        <v/>
      </c>
      <c r="X314" t="str">
        <f t="shared" si="46"/>
        <v/>
      </c>
      <c r="Y314" t="str">
        <f>IF(C314="","",IF(InventoryTable[[#This Row],[Stock Balance]]&lt;=0,"Sold Out",IF((InventoryTable[[#This Row],[Stock Balance]]/InventoryTable[[#This Row],[Total Pieces]])&lt;=0.25,"Low on Stocks","Available")))</f>
        <v/>
      </c>
    </row>
    <row r="315" spans="1:25" x14ac:dyDescent="0.3">
      <c r="A315" t="str">
        <f>IF(C315="","",_xlfn.CONCAT(LEFT(InventoryTable[[#This Row],[Category]],1),InventoryTable[[#This Row],[Product Pricing Type]],ROW()))</f>
        <v/>
      </c>
      <c r="H315" t="str">
        <f t="shared" si="47"/>
        <v/>
      </c>
      <c r="K315" t="str">
        <f t="shared" si="48"/>
        <v/>
      </c>
      <c r="N315" t="str">
        <f t="shared" si="49"/>
        <v/>
      </c>
      <c r="P315" t="str">
        <f t="shared" si="50"/>
        <v/>
      </c>
      <c r="Q315" s="4" t="str">
        <f t="shared" si="51"/>
        <v/>
      </c>
      <c r="R315" t="str">
        <f t="shared" si="52"/>
        <v/>
      </c>
      <c r="S315" t="str">
        <f t="shared" si="53"/>
        <v/>
      </c>
      <c r="T315" t="str">
        <f>IF(C315="","",InventoryTable[[#This Row],[Profit per Unit]]*InventoryTable[[#This Row],[Total Pieces]])</f>
        <v/>
      </c>
      <c r="U315" t="str">
        <f t="shared" si="44"/>
        <v/>
      </c>
      <c r="V315" t="str">
        <f>IF(C315="","",H315-InventoryTable[[#This Row],[Units Sold]])</f>
        <v/>
      </c>
      <c r="W315" t="str">
        <f t="shared" si="45"/>
        <v/>
      </c>
      <c r="X315" t="str">
        <f t="shared" si="46"/>
        <v/>
      </c>
      <c r="Y315" t="str">
        <f>IF(C315="","",IF(InventoryTable[[#This Row],[Stock Balance]]&lt;=0,"Sold Out",IF((InventoryTable[[#This Row],[Stock Balance]]/InventoryTable[[#This Row],[Total Pieces]])&lt;=0.25,"Low on Stocks","Available")))</f>
        <v/>
      </c>
    </row>
    <row r="316" spans="1:25" x14ac:dyDescent="0.3">
      <c r="A316" t="str">
        <f>IF(C316="","",_xlfn.CONCAT(LEFT(InventoryTable[[#This Row],[Category]],1),InventoryTable[[#This Row],[Product Pricing Type]],ROW()))</f>
        <v/>
      </c>
      <c r="H316" t="str">
        <f t="shared" si="47"/>
        <v/>
      </c>
      <c r="K316" t="str">
        <f t="shared" si="48"/>
        <v/>
      </c>
      <c r="N316" t="str">
        <f t="shared" si="49"/>
        <v/>
      </c>
      <c r="P316" t="str">
        <f t="shared" si="50"/>
        <v/>
      </c>
      <c r="Q316" s="4" t="str">
        <f t="shared" si="51"/>
        <v/>
      </c>
      <c r="R316" t="str">
        <f t="shared" si="52"/>
        <v/>
      </c>
      <c r="S316" t="str">
        <f t="shared" si="53"/>
        <v/>
      </c>
      <c r="T316" t="str">
        <f>IF(C316="","",InventoryTable[[#This Row],[Profit per Unit]]*InventoryTable[[#This Row],[Total Pieces]])</f>
        <v/>
      </c>
      <c r="U316" t="str">
        <f t="shared" si="44"/>
        <v/>
      </c>
      <c r="V316" t="str">
        <f>IF(C316="","",H316-InventoryTable[[#This Row],[Units Sold]])</f>
        <v/>
      </c>
      <c r="W316" t="str">
        <f t="shared" si="45"/>
        <v/>
      </c>
      <c r="X316" t="str">
        <f t="shared" si="46"/>
        <v/>
      </c>
      <c r="Y316" t="str">
        <f>IF(C316="","",IF(InventoryTable[[#This Row],[Stock Balance]]&lt;=0,"Sold Out",IF((InventoryTable[[#This Row],[Stock Balance]]/InventoryTable[[#This Row],[Total Pieces]])&lt;=0.25,"Low on Stocks","Available")))</f>
        <v/>
      </c>
    </row>
    <row r="317" spans="1:25" x14ac:dyDescent="0.3">
      <c r="A317" t="str">
        <f>IF(C317="","",_xlfn.CONCAT(LEFT(InventoryTable[[#This Row],[Category]],1),InventoryTable[[#This Row],[Product Pricing Type]],ROW()))</f>
        <v/>
      </c>
      <c r="H317" t="str">
        <f t="shared" si="47"/>
        <v/>
      </c>
      <c r="K317" t="str">
        <f t="shared" si="48"/>
        <v/>
      </c>
      <c r="N317" t="str">
        <f t="shared" si="49"/>
        <v/>
      </c>
      <c r="P317" t="str">
        <f t="shared" si="50"/>
        <v/>
      </c>
      <c r="Q317" s="4" t="str">
        <f t="shared" si="51"/>
        <v/>
      </c>
      <c r="R317" t="str">
        <f t="shared" si="52"/>
        <v/>
      </c>
      <c r="S317" t="str">
        <f t="shared" si="53"/>
        <v/>
      </c>
      <c r="T317" t="str">
        <f>IF(C317="","",InventoryTable[[#This Row],[Profit per Unit]]*InventoryTable[[#This Row],[Total Pieces]])</f>
        <v/>
      </c>
      <c r="U317" t="str">
        <f t="shared" ref="U317:U380" si="54">IF(C317="","",0)</f>
        <v/>
      </c>
      <c r="V317" t="str">
        <f>IF(C317="","",H317-InventoryTable[[#This Row],[Units Sold]])</f>
        <v/>
      </c>
      <c r="W317" t="str">
        <f t="shared" ref="W317:W380" si="55">IF(C317="","",Q317*U317)</f>
        <v/>
      </c>
      <c r="X317" t="str">
        <f t="shared" ref="X317:X380" si="56">IF(C317="","",S317*U317)</f>
        <v/>
      </c>
      <c r="Y317" t="str">
        <f>IF(C317="","",IF(InventoryTable[[#This Row],[Stock Balance]]&lt;=0,"Sold Out",IF((InventoryTable[[#This Row],[Stock Balance]]/InventoryTable[[#This Row],[Total Pieces]])&lt;=0.25,"Low on Stocks","Available")))</f>
        <v/>
      </c>
    </row>
    <row r="318" spans="1:25" x14ac:dyDescent="0.3">
      <c r="A318" t="str">
        <f>IF(C318="","",_xlfn.CONCAT(LEFT(InventoryTable[[#This Row],[Category]],1),InventoryTable[[#This Row],[Product Pricing Type]],ROW()))</f>
        <v/>
      </c>
      <c r="H318" t="str">
        <f t="shared" si="47"/>
        <v/>
      </c>
      <c r="K318" t="str">
        <f t="shared" si="48"/>
        <v/>
      </c>
      <c r="N318" t="str">
        <f t="shared" si="49"/>
        <v/>
      </c>
      <c r="P318" t="str">
        <f t="shared" si="50"/>
        <v/>
      </c>
      <c r="Q318" s="4" t="str">
        <f t="shared" si="51"/>
        <v/>
      </c>
      <c r="R318" t="str">
        <f t="shared" si="52"/>
        <v/>
      </c>
      <c r="S318" t="str">
        <f t="shared" si="53"/>
        <v/>
      </c>
      <c r="T318" t="str">
        <f>IF(C318="","",InventoryTable[[#This Row],[Profit per Unit]]*InventoryTable[[#This Row],[Total Pieces]])</f>
        <v/>
      </c>
      <c r="U318" t="str">
        <f t="shared" si="54"/>
        <v/>
      </c>
      <c r="V318" t="str">
        <f>IF(C318="","",H318-InventoryTable[[#This Row],[Units Sold]])</f>
        <v/>
      </c>
      <c r="W318" t="str">
        <f t="shared" si="55"/>
        <v/>
      </c>
      <c r="X318" t="str">
        <f t="shared" si="56"/>
        <v/>
      </c>
      <c r="Y318" t="str">
        <f>IF(C318="","",IF(InventoryTable[[#This Row],[Stock Balance]]&lt;=0,"Sold Out",IF((InventoryTable[[#This Row],[Stock Balance]]/InventoryTable[[#This Row],[Total Pieces]])&lt;=0.25,"Low on Stocks","Available")))</f>
        <v/>
      </c>
    </row>
    <row r="319" spans="1:25" x14ac:dyDescent="0.3">
      <c r="A319" t="str">
        <f>IF(C319="","",_xlfn.CONCAT(LEFT(InventoryTable[[#This Row],[Category]],1),InventoryTable[[#This Row],[Product Pricing Type]],ROW()))</f>
        <v/>
      </c>
      <c r="H319" t="str">
        <f t="shared" si="47"/>
        <v/>
      </c>
      <c r="K319" t="str">
        <f t="shared" si="48"/>
        <v/>
      </c>
      <c r="N319" t="str">
        <f t="shared" si="49"/>
        <v/>
      </c>
      <c r="P319" t="str">
        <f t="shared" si="50"/>
        <v/>
      </c>
      <c r="Q319" s="4" t="str">
        <f t="shared" si="51"/>
        <v/>
      </c>
      <c r="R319" t="str">
        <f t="shared" si="52"/>
        <v/>
      </c>
      <c r="S319" t="str">
        <f t="shared" si="53"/>
        <v/>
      </c>
      <c r="T319" t="str">
        <f>IF(C319="","",InventoryTable[[#This Row],[Profit per Unit]]*InventoryTable[[#This Row],[Total Pieces]])</f>
        <v/>
      </c>
      <c r="U319" t="str">
        <f t="shared" si="54"/>
        <v/>
      </c>
      <c r="V319" t="str">
        <f>IF(C319="","",H319-InventoryTable[[#This Row],[Units Sold]])</f>
        <v/>
      </c>
      <c r="W319" t="str">
        <f t="shared" si="55"/>
        <v/>
      </c>
      <c r="X319" t="str">
        <f t="shared" si="56"/>
        <v/>
      </c>
      <c r="Y319" t="str">
        <f>IF(C319="","",IF(InventoryTable[[#This Row],[Stock Balance]]&lt;=0,"Sold Out",IF((InventoryTable[[#This Row],[Stock Balance]]/InventoryTable[[#This Row],[Total Pieces]])&lt;=0.25,"Low on Stocks","Available")))</f>
        <v/>
      </c>
    </row>
    <row r="320" spans="1:25" x14ac:dyDescent="0.3">
      <c r="A320" t="str">
        <f>IF(C320="","",_xlfn.CONCAT(LEFT(InventoryTable[[#This Row],[Category]],1),InventoryTable[[#This Row],[Product Pricing Type]],ROW()))</f>
        <v/>
      </c>
      <c r="H320" t="str">
        <f t="shared" si="47"/>
        <v/>
      </c>
      <c r="K320" t="str">
        <f t="shared" si="48"/>
        <v/>
      </c>
      <c r="N320" t="str">
        <f t="shared" si="49"/>
        <v/>
      </c>
      <c r="P320" t="str">
        <f t="shared" si="50"/>
        <v/>
      </c>
      <c r="Q320" s="4" t="str">
        <f t="shared" si="51"/>
        <v/>
      </c>
      <c r="R320" t="str">
        <f t="shared" si="52"/>
        <v/>
      </c>
      <c r="S320" t="str">
        <f t="shared" si="53"/>
        <v/>
      </c>
      <c r="T320" t="str">
        <f>IF(C320="","",InventoryTable[[#This Row],[Profit per Unit]]*InventoryTable[[#This Row],[Total Pieces]])</f>
        <v/>
      </c>
      <c r="U320" t="str">
        <f t="shared" si="54"/>
        <v/>
      </c>
      <c r="V320" t="str">
        <f>IF(C320="","",H320-InventoryTable[[#This Row],[Units Sold]])</f>
        <v/>
      </c>
      <c r="W320" t="str">
        <f t="shared" si="55"/>
        <v/>
      </c>
      <c r="X320" t="str">
        <f t="shared" si="56"/>
        <v/>
      </c>
      <c r="Y320" t="str">
        <f>IF(C320="","",IF(InventoryTable[[#This Row],[Stock Balance]]&lt;=0,"Sold Out",IF((InventoryTable[[#This Row],[Stock Balance]]/InventoryTable[[#This Row],[Total Pieces]])&lt;=0.25,"Low on Stocks","Available")))</f>
        <v/>
      </c>
    </row>
    <row r="321" spans="1:25" x14ac:dyDescent="0.3">
      <c r="A321" t="str">
        <f>IF(C321="","",_xlfn.CONCAT(LEFT(InventoryTable[[#This Row],[Category]],1),InventoryTable[[#This Row],[Product Pricing Type]],ROW()))</f>
        <v/>
      </c>
      <c r="H321" t="str">
        <f t="shared" si="47"/>
        <v/>
      </c>
      <c r="K321" t="str">
        <f t="shared" si="48"/>
        <v/>
      </c>
      <c r="N321" t="str">
        <f t="shared" si="49"/>
        <v/>
      </c>
      <c r="P321" t="str">
        <f t="shared" si="50"/>
        <v/>
      </c>
      <c r="Q321" s="4" t="str">
        <f t="shared" si="51"/>
        <v/>
      </c>
      <c r="R321" t="str">
        <f t="shared" si="52"/>
        <v/>
      </c>
      <c r="S321" t="str">
        <f t="shared" si="53"/>
        <v/>
      </c>
      <c r="T321" t="str">
        <f>IF(C321="","",InventoryTable[[#This Row],[Profit per Unit]]*InventoryTable[[#This Row],[Total Pieces]])</f>
        <v/>
      </c>
      <c r="U321" t="str">
        <f t="shared" si="54"/>
        <v/>
      </c>
      <c r="V321" t="str">
        <f>IF(C321="","",H321-InventoryTable[[#This Row],[Units Sold]])</f>
        <v/>
      </c>
      <c r="W321" t="str">
        <f t="shared" si="55"/>
        <v/>
      </c>
      <c r="X321" t="str">
        <f t="shared" si="56"/>
        <v/>
      </c>
      <c r="Y321" t="str">
        <f>IF(C321="","",IF(InventoryTable[[#This Row],[Stock Balance]]&lt;=0,"Sold Out",IF((InventoryTable[[#This Row],[Stock Balance]]/InventoryTable[[#This Row],[Total Pieces]])&lt;=0.25,"Low on Stocks","Available")))</f>
        <v/>
      </c>
    </row>
    <row r="322" spans="1:25" x14ac:dyDescent="0.3">
      <c r="A322" t="str">
        <f>IF(C322="","",_xlfn.CONCAT(LEFT(InventoryTable[[#This Row],[Category]],1),InventoryTable[[#This Row],[Product Pricing Type]],ROW()))</f>
        <v/>
      </c>
      <c r="H322" t="str">
        <f t="shared" si="47"/>
        <v/>
      </c>
      <c r="K322" t="str">
        <f t="shared" si="48"/>
        <v/>
      </c>
      <c r="N322" t="str">
        <f t="shared" si="49"/>
        <v/>
      </c>
      <c r="P322" t="str">
        <f t="shared" si="50"/>
        <v/>
      </c>
      <c r="Q322" s="4" t="str">
        <f t="shared" si="51"/>
        <v/>
      </c>
      <c r="R322" t="str">
        <f t="shared" si="52"/>
        <v/>
      </c>
      <c r="S322" t="str">
        <f t="shared" si="53"/>
        <v/>
      </c>
      <c r="T322" t="str">
        <f>IF(C322="","",InventoryTable[[#This Row],[Profit per Unit]]*InventoryTable[[#This Row],[Total Pieces]])</f>
        <v/>
      </c>
      <c r="U322" t="str">
        <f t="shared" si="54"/>
        <v/>
      </c>
      <c r="V322" t="str">
        <f>IF(C322="","",H322-InventoryTable[[#This Row],[Units Sold]])</f>
        <v/>
      </c>
      <c r="W322" t="str">
        <f t="shared" si="55"/>
        <v/>
      </c>
      <c r="X322" t="str">
        <f t="shared" si="56"/>
        <v/>
      </c>
      <c r="Y322" t="str">
        <f>IF(C322="","",IF(InventoryTable[[#This Row],[Stock Balance]]&lt;=0,"Sold Out",IF((InventoryTable[[#This Row],[Stock Balance]]/InventoryTable[[#This Row],[Total Pieces]])&lt;=0.25,"Low on Stocks","Available")))</f>
        <v/>
      </c>
    </row>
    <row r="323" spans="1:25" x14ac:dyDescent="0.3">
      <c r="A323" t="str">
        <f>IF(C323="","",_xlfn.CONCAT(LEFT(InventoryTable[[#This Row],[Category]],1),InventoryTable[[#This Row],[Product Pricing Type]],ROW()))</f>
        <v/>
      </c>
      <c r="H323" t="str">
        <f t="shared" si="47"/>
        <v/>
      </c>
      <c r="K323" t="str">
        <f t="shared" si="48"/>
        <v/>
      </c>
      <c r="N323" t="str">
        <f t="shared" si="49"/>
        <v/>
      </c>
      <c r="P323" t="str">
        <f t="shared" si="50"/>
        <v/>
      </c>
      <c r="Q323" s="4" t="str">
        <f t="shared" si="51"/>
        <v/>
      </c>
      <c r="R323" t="str">
        <f t="shared" si="52"/>
        <v/>
      </c>
      <c r="S323" t="str">
        <f t="shared" si="53"/>
        <v/>
      </c>
      <c r="T323" t="str">
        <f>IF(C323="","",InventoryTable[[#This Row],[Profit per Unit]]*InventoryTable[[#This Row],[Total Pieces]])</f>
        <v/>
      </c>
      <c r="U323" t="str">
        <f t="shared" si="54"/>
        <v/>
      </c>
      <c r="V323" t="str">
        <f>IF(C323="","",H323-InventoryTable[[#This Row],[Units Sold]])</f>
        <v/>
      </c>
      <c r="W323" t="str">
        <f t="shared" si="55"/>
        <v/>
      </c>
      <c r="X323" t="str">
        <f t="shared" si="56"/>
        <v/>
      </c>
      <c r="Y323" t="str">
        <f>IF(C323="","",IF(InventoryTable[[#This Row],[Stock Balance]]&lt;=0,"Sold Out",IF((InventoryTable[[#This Row],[Stock Balance]]/InventoryTable[[#This Row],[Total Pieces]])&lt;=0.25,"Low on Stocks","Available")))</f>
        <v/>
      </c>
    </row>
    <row r="324" spans="1:25" x14ac:dyDescent="0.3">
      <c r="A324" t="str">
        <f>IF(C324="","",_xlfn.CONCAT(LEFT(InventoryTable[[#This Row],[Category]],1),InventoryTable[[#This Row],[Product Pricing Type]],ROW()))</f>
        <v/>
      </c>
      <c r="H324" t="str">
        <f t="shared" si="47"/>
        <v/>
      </c>
      <c r="K324" t="str">
        <f t="shared" si="48"/>
        <v/>
      </c>
      <c r="N324" t="str">
        <f t="shared" si="49"/>
        <v/>
      </c>
      <c r="P324" t="str">
        <f t="shared" si="50"/>
        <v/>
      </c>
      <c r="Q324" s="4" t="str">
        <f t="shared" si="51"/>
        <v/>
      </c>
      <c r="R324" t="str">
        <f t="shared" si="52"/>
        <v/>
      </c>
      <c r="S324" t="str">
        <f t="shared" si="53"/>
        <v/>
      </c>
      <c r="T324" t="str">
        <f>IF(C324="","",InventoryTable[[#This Row],[Profit per Unit]]*InventoryTable[[#This Row],[Total Pieces]])</f>
        <v/>
      </c>
      <c r="U324" t="str">
        <f t="shared" si="54"/>
        <v/>
      </c>
      <c r="V324" t="str">
        <f>IF(C324="","",H324-InventoryTable[[#This Row],[Units Sold]])</f>
        <v/>
      </c>
      <c r="W324" t="str">
        <f t="shared" si="55"/>
        <v/>
      </c>
      <c r="X324" t="str">
        <f t="shared" si="56"/>
        <v/>
      </c>
      <c r="Y324" t="str">
        <f>IF(C324="","",IF(InventoryTable[[#This Row],[Stock Balance]]&lt;=0,"Sold Out",IF((InventoryTable[[#This Row],[Stock Balance]]/InventoryTable[[#This Row],[Total Pieces]])&lt;=0.25,"Low on Stocks","Available")))</f>
        <v/>
      </c>
    </row>
    <row r="325" spans="1:25" x14ac:dyDescent="0.3">
      <c r="A325" t="str">
        <f>IF(C325="","",_xlfn.CONCAT(LEFT(InventoryTable[[#This Row],[Category]],1),InventoryTable[[#This Row],[Product Pricing Type]],ROW()))</f>
        <v/>
      </c>
      <c r="H325" t="str">
        <f t="shared" si="47"/>
        <v/>
      </c>
      <c r="K325" t="str">
        <f t="shared" si="48"/>
        <v/>
      </c>
      <c r="N325" t="str">
        <f t="shared" si="49"/>
        <v/>
      </c>
      <c r="P325" t="str">
        <f t="shared" si="50"/>
        <v/>
      </c>
      <c r="Q325" s="4" t="str">
        <f t="shared" si="51"/>
        <v/>
      </c>
      <c r="R325" t="str">
        <f t="shared" si="52"/>
        <v/>
      </c>
      <c r="S325" t="str">
        <f t="shared" si="53"/>
        <v/>
      </c>
      <c r="T325" t="str">
        <f>IF(C325="","",InventoryTable[[#This Row],[Profit per Unit]]*InventoryTable[[#This Row],[Total Pieces]])</f>
        <v/>
      </c>
      <c r="U325" t="str">
        <f t="shared" si="54"/>
        <v/>
      </c>
      <c r="V325" t="str">
        <f>IF(C325="","",H325-InventoryTable[[#This Row],[Units Sold]])</f>
        <v/>
      </c>
      <c r="W325" t="str">
        <f t="shared" si="55"/>
        <v/>
      </c>
      <c r="X325" t="str">
        <f t="shared" si="56"/>
        <v/>
      </c>
      <c r="Y325" t="str">
        <f>IF(C325="","",IF(InventoryTable[[#This Row],[Stock Balance]]&lt;=0,"Sold Out",IF((InventoryTable[[#This Row],[Stock Balance]]/InventoryTable[[#This Row],[Total Pieces]])&lt;=0.25,"Low on Stocks","Available")))</f>
        <v/>
      </c>
    </row>
    <row r="326" spans="1:25" x14ac:dyDescent="0.3">
      <c r="A326" t="str">
        <f>IF(C326="","",_xlfn.CONCAT(LEFT(InventoryTable[[#This Row],[Category]],1),InventoryTable[[#This Row],[Product Pricing Type]],ROW()))</f>
        <v/>
      </c>
      <c r="H326" t="str">
        <f t="shared" si="47"/>
        <v/>
      </c>
      <c r="K326" t="str">
        <f t="shared" si="48"/>
        <v/>
      </c>
      <c r="N326" t="str">
        <f t="shared" si="49"/>
        <v/>
      </c>
      <c r="P326" t="str">
        <f t="shared" si="50"/>
        <v/>
      </c>
      <c r="Q326" s="4" t="str">
        <f t="shared" si="51"/>
        <v/>
      </c>
      <c r="R326" t="str">
        <f t="shared" si="52"/>
        <v/>
      </c>
      <c r="S326" t="str">
        <f t="shared" si="53"/>
        <v/>
      </c>
      <c r="T326" t="str">
        <f>IF(C326="","",InventoryTable[[#This Row],[Profit per Unit]]*InventoryTable[[#This Row],[Total Pieces]])</f>
        <v/>
      </c>
      <c r="U326" t="str">
        <f t="shared" si="54"/>
        <v/>
      </c>
      <c r="V326" t="str">
        <f>IF(C326="","",H326-InventoryTable[[#This Row],[Units Sold]])</f>
        <v/>
      </c>
      <c r="W326" t="str">
        <f t="shared" si="55"/>
        <v/>
      </c>
      <c r="X326" t="str">
        <f t="shared" si="56"/>
        <v/>
      </c>
      <c r="Y326" t="str">
        <f>IF(C326="","",IF(InventoryTable[[#This Row],[Stock Balance]]&lt;=0,"Sold Out",IF((InventoryTable[[#This Row],[Stock Balance]]/InventoryTable[[#This Row],[Total Pieces]])&lt;=0.25,"Low on Stocks","Available")))</f>
        <v/>
      </c>
    </row>
    <row r="327" spans="1:25" x14ac:dyDescent="0.3">
      <c r="A327" t="str">
        <f>IF(C327="","",_xlfn.CONCAT(LEFT(InventoryTable[[#This Row],[Category]],1),InventoryTable[[#This Row],[Product Pricing Type]],ROW()))</f>
        <v/>
      </c>
      <c r="H327" t="str">
        <f t="shared" si="47"/>
        <v/>
      </c>
      <c r="K327" t="str">
        <f t="shared" si="48"/>
        <v/>
      </c>
      <c r="N327" t="str">
        <f t="shared" si="49"/>
        <v/>
      </c>
      <c r="P327" t="str">
        <f t="shared" si="50"/>
        <v/>
      </c>
      <c r="Q327" s="4" t="str">
        <f t="shared" si="51"/>
        <v/>
      </c>
      <c r="R327" t="str">
        <f t="shared" si="52"/>
        <v/>
      </c>
      <c r="S327" t="str">
        <f t="shared" si="53"/>
        <v/>
      </c>
      <c r="T327" t="str">
        <f>IF(C327="","",InventoryTable[[#This Row],[Profit per Unit]]*InventoryTable[[#This Row],[Total Pieces]])</f>
        <v/>
      </c>
      <c r="U327" t="str">
        <f t="shared" si="54"/>
        <v/>
      </c>
      <c r="V327" t="str">
        <f>IF(C327="","",H327-InventoryTable[[#This Row],[Units Sold]])</f>
        <v/>
      </c>
      <c r="W327" t="str">
        <f t="shared" si="55"/>
        <v/>
      </c>
      <c r="X327" t="str">
        <f t="shared" si="56"/>
        <v/>
      </c>
      <c r="Y327" t="str">
        <f>IF(C327="","",IF(InventoryTable[[#This Row],[Stock Balance]]&lt;=0,"Sold Out",IF((InventoryTable[[#This Row],[Stock Balance]]/InventoryTable[[#This Row],[Total Pieces]])&lt;=0.25,"Low on Stocks","Available")))</f>
        <v/>
      </c>
    </row>
    <row r="328" spans="1:25" x14ac:dyDescent="0.3">
      <c r="A328" t="str">
        <f>IF(C328="","",_xlfn.CONCAT(LEFT(InventoryTable[[#This Row],[Category]],1),InventoryTable[[#This Row],[Product Pricing Type]],ROW()))</f>
        <v/>
      </c>
      <c r="H328" t="str">
        <f t="shared" si="47"/>
        <v/>
      </c>
      <c r="K328" t="str">
        <f t="shared" si="48"/>
        <v/>
      </c>
      <c r="N328" t="str">
        <f t="shared" si="49"/>
        <v/>
      </c>
      <c r="P328" t="str">
        <f t="shared" si="50"/>
        <v/>
      </c>
      <c r="Q328" s="4" t="str">
        <f t="shared" si="51"/>
        <v/>
      </c>
      <c r="R328" t="str">
        <f t="shared" si="52"/>
        <v/>
      </c>
      <c r="S328" t="str">
        <f t="shared" si="53"/>
        <v/>
      </c>
      <c r="T328" t="str">
        <f>IF(C328="","",InventoryTable[[#This Row],[Profit per Unit]]*InventoryTable[[#This Row],[Total Pieces]])</f>
        <v/>
      </c>
      <c r="U328" t="str">
        <f t="shared" si="54"/>
        <v/>
      </c>
      <c r="V328" t="str">
        <f>IF(C328="","",H328-InventoryTable[[#This Row],[Units Sold]])</f>
        <v/>
      </c>
      <c r="W328" t="str">
        <f t="shared" si="55"/>
        <v/>
      </c>
      <c r="X328" t="str">
        <f t="shared" si="56"/>
        <v/>
      </c>
      <c r="Y328" t="str">
        <f>IF(C328="","",IF(InventoryTable[[#This Row],[Stock Balance]]&lt;=0,"Sold Out",IF((InventoryTable[[#This Row],[Stock Balance]]/InventoryTable[[#This Row],[Total Pieces]])&lt;=0.25,"Low on Stocks","Available")))</f>
        <v/>
      </c>
    </row>
    <row r="329" spans="1:25" x14ac:dyDescent="0.3">
      <c r="A329" t="str">
        <f>IF(C329="","",_xlfn.CONCAT(LEFT(InventoryTable[[#This Row],[Category]],1),InventoryTable[[#This Row],[Product Pricing Type]],ROW()))</f>
        <v/>
      </c>
      <c r="H329" t="str">
        <f t="shared" si="47"/>
        <v/>
      </c>
      <c r="K329" t="str">
        <f t="shared" si="48"/>
        <v/>
      </c>
      <c r="N329" t="str">
        <f t="shared" si="49"/>
        <v/>
      </c>
      <c r="P329" t="str">
        <f t="shared" si="50"/>
        <v/>
      </c>
      <c r="Q329" s="4" t="str">
        <f t="shared" si="51"/>
        <v/>
      </c>
      <c r="R329" t="str">
        <f t="shared" si="52"/>
        <v/>
      </c>
      <c r="S329" t="str">
        <f t="shared" si="53"/>
        <v/>
      </c>
      <c r="T329" t="str">
        <f>IF(C329="","",InventoryTable[[#This Row],[Profit per Unit]]*InventoryTable[[#This Row],[Total Pieces]])</f>
        <v/>
      </c>
      <c r="U329" t="str">
        <f t="shared" si="54"/>
        <v/>
      </c>
      <c r="V329" t="str">
        <f>IF(C329="","",H329-InventoryTable[[#This Row],[Units Sold]])</f>
        <v/>
      </c>
      <c r="W329" t="str">
        <f t="shared" si="55"/>
        <v/>
      </c>
      <c r="X329" t="str">
        <f t="shared" si="56"/>
        <v/>
      </c>
      <c r="Y329" t="str">
        <f>IF(C329="","",IF(InventoryTable[[#This Row],[Stock Balance]]&lt;=0,"Sold Out",IF((InventoryTable[[#This Row],[Stock Balance]]/InventoryTable[[#This Row],[Total Pieces]])&lt;=0.25,"Low on Stocks","Available")))</f>
        <v/>
      </c>
    </row>
    <row r="330" spans="1:25" x14ac:dyDescent="0.3">
      <c r="A330" t="str">
        <f>IF(C330="","",_xlfn.CONCAT(LEFT(InventoryTable[[#This Row],[Category]],1),InventoryTable[[#This Row],[Product Pricing Type]],ROW()))</f>
        <v/>
      </c>
      <c r="H330" t="str">
        <f t="shared" si="47"/>
        <v/>
      </c>
      <c r="K330" t="str">
        <f t="shared" si="48"/>
        <v/>
      </c>
      <c r="N330" t="str">
        <f t="shared" si="49"/>
        <v/>
      </c>
      <c r="P330" t="str">
        <f t="shared" si="50"/>
        <v/>
      </c>
      <c r="Q330" s="4" t="str">
        <f t="shared" si="51"/>
        <v/>
      </c>
      <c r="R330" t="str">
        <f t="shared" si="52"/>
        <v/>
      </c>
      <c r="S330" t="str">
        <f t="shared" si="53"/>
        <v/>
      </c>
      <c r="T330" t="str">
        <f>IF(C330="","",InventoryTable[[#This Row],[Profit per Unit]]*InventoryTable[[#This Row],[Total Pieces]])</f>
        <v/>
      </c>
      <c r="U330" t="str">
        <f t="shared" si="54"/>
        <v/>
      </c>
      <c r="V330" t="str">
        <f>IF(C330="","",H330-InventoryTable[[#This Row],[Units Sold]])</f>
        <v/>
      </c>
      <c r="W330" t="str">
        <f t="shared" si="55"/>
        <v/>
      </c>
      <c r="X330" t="str">
        <f t="shared" si="56"/>
        <v/>
      </c>
      <c r="Y330" t="str">
        <f>IF(C330="","",IF(InventoryTable[[#This Row],[Stock Balance]]&lt;=0,"Sold Out",IF((InventoryTable[[#This Row],[Stock Balance]]/InventoryTable[[#This Row],[Total Pieces]])&lt;=0.25,"Low on Stocks","Available")))</f>
        <v/>
      </c>
    </row>
    <row r="331" spans="1:25" x14ac:dyDescent="0.3">
      <c r="A331" t="str">
        <f>IF(C331="","",_xlfn.CONCAT(LEFT(InventoryTable[[#This Row],[Category]],1),InventoryTable[[#This Row],[Product Pricing Type]],ROW()))</f>
        <v/>
      </c>
      <c r="H331" t="str">
        <f t="shared" si="47"/>
        <v/>
      </c>
      <c r="K331" t="str">
        <f t="shared" si="48"/>
        <v/>
      </c>
      <c r="N331" t="str">
        <f t="shared" si="49"/>
        <v/>
      </c>
      <c r="P331" t="str">
        <f t="shared" si="50"/>
        <v/>
      </c>
      <c r="Q331" s="4" t="str">
        <f t="shared" si="51"/>
        <v/>
      </c>
      <c r="R331" t="str">
        <f t="shared" si="52"/>
        <v/>
      </c>
      <c r="S331" t="str">
        <f t="shared" si="53"/>
        <v/>
      </c>
      <c r="T331" t="str">
        <f>IF(C331="","",InventoryTable[[#This Row],[Profit per Unit]]*InventoryTable[[#This Row],[Total Pieces]])</f>
        <v/>
      </c>
      <c r="U331" t="str">
        <f t="shared" si="54"/>
        <v/>
      </c>
      <c r="V331" t="str">
        <f>IF(C331="","",H331-InventoryTable[[#This Row],[Units Sold]])</f>
        <v/>
      </c>
      <c r="W331" t="str">
        <f t="shared" si="55"/>
        <v/>
      </c>
      <c r="X331" t="str">
        <f t="shared" si="56"/>
        <v/>
      </c>
      <c r="Y331" t="str">
        <f>IF(C331="","",IF(InventoryTable[[#This Row],[Stock Balance]]&lt;=0,"Sold Out",IF((InventoryTable[[#This Row],[Stock Balance]]/InventoryTable[[#This Row],[Total Pieces]])&lt;=0.25,"Low on Stocks","Available")))</f>
        <v/>
      </c>
    </row>
    <row r="332" spans="1:25" x14ac:dyDescent="0.3">
      <c r="A332" t="str">
        <f>IF(C332="","",_xlfn.CONCAT(LEFT(InventoryTable[[#This Row],[Category]],1),InventoryTable[[#This Row],[Product Pricing Type]],ROW()))</f>
        <v/>
      </c>
      <c r="H332" t="str">
        <f t="shared" si="47"/>
        <v/>
      </c>
      <c r="K332" t="str">
        <f t="shared" si="48"/>
        <v/>
      </c>
      <c r="N332" t="str">
        <f t="shared" si="49"/>
        <v/>
      </c>
      <c r="P332" t="str">
        <f t="shared" si="50"/>
        <v/>
      </c>
      <c r="Q332" s="4" t="str">
        <f t="shared" si="51"/>
        <v/>
      </c>
      <c r="R332" t="str">
        <f t="shared" si="52"/>
        <v/>
      </c>
      <c r="S332" t="str">
        <f t="shared" si="53"/>
        <v/>
      </c>
      <c r="T332" t="str">
        <f>IF(C332="","",InventoryTable[[#This Row],[Profit per Unit]]*InventoryTable[[#This Row],[Total Pieces]])</f>
        <v/>
      </c>
      <c r="U332" t="str">
        <f t="shared" si="54"/>
        <v/>
      </c>
      <c r="V332" t="str">
        <f>IF(C332="","",H332-InventoryTable[[#This Row],[Units Sold]])</f>
        <v/>
      </c>
      <c r="W332" t="str">
        <f t="shared" si="55"/>
        <v/>
      </c>
      <c r="X332" t="str">
        <f t="shared" si="56"/>
        <v/>
      </c>
      <c r="Y332" t="str">
        <f>IF(C332="","",IF(InventoryTable[[#This Row],[Stock Balance]]&lt;=0,"Sold Out",IF((InventoryTable[[#This Row],[Stock Balance]]/InventoryTable[[#This Row],[Total Pieces]])&lt;=0.25,"Low on Stocks","Available")))</f>
        <v/>
      </c>
    </row>
    <row r="333" spans="1:25" x14ac:dyDescent="0.3">
      <c r="A333" t="str">
        <f>IF(C333="","",_xlfn.CONCAT(LEFT(InventoryTable[[#This Row],[Category]],1),InventoryTable[[#This Row],[Product Pricing Type]],ROW()))</f>
        <v/>
      </c>
      <c r="H333" t="str">
        <f t="shared" si="47"/>
        <v/>
      </c>
      <c r="K333" t="str">
        <f t="shared" si="48"/>
        <v/>
      </c>
      <c r="N333" t="str">
        <f t="shared" si="49"/>
        <v/>
      </c>
      <c r="P333" t="str">
        <f t="shared" si="50"/>
        <v/>
      </c>
      <c r="Q333" s="4" t="str">
        <f t="shared" si="51"/>
        <v/>
      </c>
      <c r="R333" t="str">
        <f t="shared" si="52"/>
        <v/>
      </c>
      <c r="S333" t="str">
        <f t="shared" si="53"/>
        <v/>
      </c>
      <c r="T333" t="str">
        <f>IF(C333="","",InventoryTable[[#This Row],[Profit per Unit]]*InventoryTable[[#This Row],[Total Pieces]])</f>
        <v/>
      </c>
      <c r="U333" t="str">
        <f t="shared" si="54"/>
        <v/>
      </c>
      <c r="V333" t="str">
        <f>IF(C333="","",H333-InventoryTable[[#This Row],[Units Sold]])</f>
        <v/>
      </c>
      <c r="W333" t="str">
        <f t="shared" si="55"/>
        <v/>
      </c>
      <c r="X333" t="str">
        <f t="shared" si="56"/>
        <v/>
      </c>
      <c r="Y333" t="str">
        <f>IF(C333="","",IF(InventoryTable[[#This Row],[Stock Balance]]&lt;=0,"Sold Out",IF((InventoryTable[[#This Row],[Stock Balance]]/InventoryTable[[#This Row],[Total Pieces]])&lt;=0.25,"Low on Stocks","Available")))</f>
        <v/>
      </c>
    </row>
    <row r="334" spans="1:25" x14ac:dyDescent="0.3">
      <c r="A334" t="str">
        <f>IF(C334="","",_xlfn.CONCAT(LEFT(InventoryTable[[#This Row],[Category]],1),InventoryTable[[#This Row],[Product Pricing Type]],ROW()))</f>
        <v/>
      </c>
      <c r="H334" t="str">
        <f t="shared" si="47"/>
        <v/>
      </c>
      <c r="K334" t="str">
        <f t="shared" si="48"/>
        <v/>
      </c>
      <c r="N334" t="str">
        <f t="shared" si="49"/>
        <v/>
      </c>
      <c r="P334" t="str">
        <f t="shared" si="50"/>
        <v/>
      </c>
      <c r="Q334" s="4" t="str">
        <f t="shared" si="51"/>
        <v/>
      </c>
      <c r="R334" t="str">
        <f t="shared" si="52"/>
        <v/>
      </c>
      <c r="S334" t="str">
        <f t="shared" si="53"/>
        <v/>
      </c>
      <c r="T334" t="str">
        <f>IF(C334="","",InventoryTable[[#This Row],[Profit per Unit]]*InventoryTable[[#This Row],[Total Pieces]])</f>
        <v/>
      </c>
      <c r="U334" t="str">
        <f t="shared" si="54"/>
        <v/>
      </c>
      <c r="V334" t="str">
        <f>IF(C334="","",H334-InventoryTable[[#This Row],[Units Sold]])</f>
        <v/>
      </c>
      <c r="W334" t="str">
        <f t="shared" si="55"/>
        <v/>
      </c>
      <c r="X334" t="str">
        <f t="shared" si="56"/>
        <v/>
      </c>
      <c r="Y334" t="str">
        <f>IF(C334="","",IF(InventoryTable[[#This Row],[Stock Balance]]&lt;=0,"Sold Out",IF((InventoryTable[[#This Row],[Stock Balance]]/InventoryTable[[#This Row],[Total Pieces]])&lt;=0.25,"Low on Stocks","Available")))</f>
        <v/>
      </c>
    </row>
    <row r="335" spans="1:25" x14ac:dyDescent="0.3">
      <c r="A335" t="str">
        <f>IF(C335="","",_xlfn.CONCAT(LEFT(InventoryTable[[#This Row],[Category]],1),InventoryTable[[#This Row],[Product Pricing Type]],ROW()))</f>
        <v/>
      </c>
      <c r="H335" t="str">
        <f t="shared" si="47"/>
        <v/>
      </c>
      <c r="K335" t="str">
        <f t="shared" si="48"/>
        <v/>
      </c>
      <c r="N335" t="str">
        <f t="shared" si="49"/>
        <v/>
      </c>
      <c r="P335" t="str">
        <f t="shared" si="50"/>
        <v/>
      </c>
      <c r="Q335" s="4" t="str">
        <f t="shared" si="51"/>
        <v/>
      </c>
      <c r="R335" t="str">
        <f t="shared" si="52"/>
        <v/>
      </c>
      <c r="S335" t="str">
        <f t="shared" si="53"/>
        <v/>
      </c>
      <c r="T335" t="str">
        <f>IF(C335="","",InventoryTable[[#This Row],[Profit per Unit]]*InventoryTable[[#This Row],[Total Pieces]])</f>
        <v/>
      </c>
      <c r="U335" t="str">
        <f t="shared" si="54"/>
        <v/>
      </c>
      <c r="V335" t="str">
        <f>IF(C335="","",H335-InventoryTable[[#This Row],[Units Sold]])</f>
        <v/>
      </c>
      <c r="W335" t="str">
        <f t="shared" si="55"/>
        <v/>
      </c>
      <c r="X335" t="str">
        <f t="shared" si="56"/>
        <v/>
      </c>
      <c r="Y335" t="str">
        <f>IF(C335="","",IF(InventoryTable[[#This Row],[Stock Balance]]&lt;=0,"Sold Out",IF((InventoryTable[[#This Row],[Stock Balance]]/InventoryTable[[#This Row],[Total Pieces]])&lt;=0.25,"Low on Stocks","Available")))</f>
        <v/>
      </c>
    </row>
    <row r="336" spans="1:25" x14ac:dyDescent="0.3">
      <c r="A336" t="str">
        <f>IF(C336="","",_xlfn.CONCAT(LEFT(InventoryTable[[#This Row],[Category]],1),InventoryTable[[#This Row],[Product Pricing Type]],ROW()))</f>
        <v/>
      </c>
      <c r="H336" t="str">
        <f t="shared" si="47"/>
        <v/>
      </c>
      <c r="K336" t="str">
        <f t="shared" si="48"/>
        <v/>
      </c>
      <c r="N336" t="str">
        <f t="shared" si="49"/>
        <v/>
      </c>
      <c r="P336" t="str">
        <f t="shared" si="50"/>
        <v/>
      </c>
      <c r="Q336" s="4" t="str">
        <f t="shared" si="51"/>
        <v/>
      </c>
      <c r="R336" t="str">
        <f t="shared" si="52"/>
        <v/>
      </c>
      <c r="S336" t="str">
        <f t="shared" si="53"/>
        <v/>
      </c>
      <c r="T336" t="str">
        <f>IF(C336="","",InventoryTable[[#This Row],[Profit per Unit]]*InventoryTable[[#This Row],[Total Pieces]])</f>
        <v/>
      </c>
      <c r="U336" t="str">
        <f t="shared" si="54"/>
        <v/>
      </c>
      <c r="V336" t="str">
        <f>IF(C336="","",H336-InventoryTable[[#This Row],[Units Sold]])</f>
        <v/>
      </c>
      <c r="W336" t="str">
        <f t="shared" si="55"/>
        <v/>
      </c>
      <c r="X336" t="str">
        <f t="shared" si="56"/>
        <v/>
      </c>
      <c r="Y336" t="str">
        <f>IF(C336="","",IF(InventoryTable[[#This Row],[Stock Balance]]&lt;=0,"Sold Out",IF((InventoryTable[[#This Row],[Stock Balance]]/InventoryTable[[#This Row],[Total Pieces]])&lt;=0.25,"Low on Stocks","Available")))</f>
        <v/>
      </c>
    </row>
    <row r="337" spans="1:25" x14ac:dyDescent="0.3">
      <c r="A337" t="str">
        <f>IF(C337="","",_xlfn.CONCAT(LEFT(InventoryTable[[#This Row],[Category]],1),InventoryTable[[#This Row],[Product Pricing Type]],ROW()))</f>
        <v/>
      </c>
      <c r="H337" t="str">
        <f t="shared" si="47"/>
        <v/>
      </c>
      <c r="K337" t="str">
        <f t="shared" si="48"/>
        <v/>
      </c>
      <c r="N337" t="str">
        <f t="shared" si="49"/>
        <v/>
      </c>
      <c r="P337" t="str">
        <f t="shared" si="50"/>
        <v/>
      </c>
      <c r="Q337" s="4" t="str">
        <f t="shared" si="51"/>
        <v/>
      </c>
      <c r="R337" t="str">
        <f t="shared" si="52"/>
        <v/>
      </c>
      <c r="S337" t="str">
        <f t="shared" si="53"/>
        <v/>
      </c>
      <c r="T337" t="str">
        <f>IF(C337="","",InventoryTable[[#This Row],[Profit per Unit]]*InventoryTable[[#This Row],[Total Pieces]])</f>
        <v/>
      </c>
      <c r="U337" t="str">
        <f t="shared" si="54"/>
        <v/>
      </c>
      <c r="V337" t="str">
        <f>IF(C337="","",H337-InventoryTable[[#This Row],[Units Sold]])</f>
        <v/>
      </c>
      <c r="W337" t="str">
        <f t="shared" si="55"/>
        <v/>
      </c>
      <c r="X337" t="str">
        <f t="shared" si="56"/>
        <v/>
      </c>
      <c r="Y337" t="str">
        <f>IF(C337="","",IF(InventoryTable[[#This Row],[Stock Balance]]&lt;=0,"Sold Out",IF((InventoryTable[[#This Row],[Stock Balance]]/InventoryTable[[#This Row],[Total Pieces]])&lt;=0.25,"Low on Stocks","Available")))</f>
        <v/>
      </c>
    </row>
    <row r="338" spans="1:25" x14ac:dyDescent="0.3">
      <c r="A338" t="str">
        <f>IF(C338="","",_xlfn.CONCAT(LEFT(InventoryTable[[#This Row],[Category]],1),InventoryTable[[#This Row],[Product Pricing Type]],ROW()))</f>
        <v/>
      </c>
      <c r="H338" t="str">
        <f t="shared" si="47"/>
        <v/>
      </c>
      <c r="K338" t="str">
        <f t="shared" si="48"/>
        <v/>
      </c>
      <c r="N338" t="str">
        <f t="shared" si="49"/>
        <v/>
      </c>
      <c r="P338" t="str">
        <f t="shared" si="50"/>
        <v/>
      </c>
      <c r="Q338" s="4" t="str">
        <f t="shared" si="51"/>
        <v/>
      </c>
      <c r="R338" t="str">
        <f t="shared" si="52"/>
        <v/>
      </c>
      <c r="S338" t="str">
        <f t="shared" si="53"/>
        <v/>
      </c>
      <c r="T338" t="str">
        <f>IF(C338="","",InventoryTable[[#This Row],[Profit per Unit]]*InventoryTable[[#This Row],[Total Pieces]])</f>
        <v/>
      </c>
      <c r="U338" t="str">
        <f t="shared" si="54"/>
        <v/>
      </c>
      <c r="V338" t="str">
        <f>IF(C338="","",H338-InventoryTable[[#This Row],[Units Sold]])</f>
        <v/>
      </c>
      <c r="W338" t="str">
        <f t="shared" si="55"/>
        <v/>
      </c>
      <c r="X338" t="str">
        <f t="shared" si="56"/>
        <v/>
      </c>
      <c r="Y338" t="str">
        <f>IF(C338="","",IF(InventoryTable[[#This Row],[Stock Balance]]&lt;=0,"Sold Out",IF((InventoryTable[[#This Row],[Stock Balance]]/InventoryTable[[#This Row],[Total Pieces]])&lt;=0.25,"Low on Stocks","Available")))</f>
        <v/>
      </c>
    </row>
    <row r="339" spans="1:25" x14ac:dyDescent="0.3">
      <c r="A339" t="str">
        <f>IF(C339="","",_xlfn.CONCAT(LEFT(InventoryTable[[#This Row],[Category]],1),InventoryTable[[#This Row],[Product Pricing Type]],ROW()))</f>
        <v/>
      </c>
      <c r="H339" t="str">
        <f t="shared" si="47"/>
        <v/>
      </c>
      <c r="K339" t="str">
        <f t="shared" si="48"/>
        <v/>
      </c>
      <c r="N339" t="str">
        <f t="shared" si="49"/>
        <v/>
      </c>
      <c r="P339" t="str">
        <f t="shared" si="50"/>
        <v/>
      </c>
      <c r="Q339" s="4" t="str">
        <f t="shared" si="51"/>
        <v/>
      </c>
      <c r="R339" t="str">
        <f t="shared" si="52"/>
        <v/>
      </c>
      <c r="S339" t="str">
        <f t="shared" si="53"/>
        <v/>
      </c>
      <c r="T339" t="str">
        <f>IF(C339="","",InventoryTable[[#This Row],[Profit per Unit]]*InventoryTable[[#This Row],[Total Pieces]])</f>
        <v/>
      </c>
      <c r="U339" t="str">
        <f t="shared" si="54"/>
        <v/>
      </c>
      <c r="V339" t="str">
        <f>IF(C339="","",H339-InventoryTable[[#This Row],[Units Sold]])</f>
        <v/>
      </c>
      <c r="W339" t="str">
        <f t="shared" si="55"/>
        <v/>
      </c>
      <c r="X339" t="str">
        <f t="shared" si="56"/>
        <v/>
      </c>
      <c r="Y339" t="str">
        <f>IF(C339="","",IF(InventoryTable[[#This Row],[Stock Balance]]&lt;=0,"Sold Out",IF((InventoryTable[[#This Row],[Stock Balance]]/InventoryTable[[#This Row],[Total Pieces]])&lt;=0.25,"Low on Stocks","Available")))</f>
        <v/>
      </c>
    </row>
    <row r="340" spans="1:25" x14ac:dyDescent="0.3">
      <c r="A340" t="str">
        <f>IF(C340="","",_xlfn.CONCAT(LEFT(InventoryTable[[#This Row],[Category]],1),InventoryTable[[#This Row],[Product Pricing Type]],ROW()))</f>
        <v/>
      </c>
      <c r="H340" t="str">
        <f t="shared" si="47"/>
        <v/>
      </c>
      <c r="K340" t="str">
        <f t="shared" si="48"/>
        <v/>
      </c>
      <c r="N340" t="str">
        <f t="shared" si="49"/>
        <v/>
      </c>
      <c r="P340" t="str">
        <f t="shared" si="50"/>
        <v/>
      </c>
      <c r="Q340" s="4" t="str">
        <f t="shared" si="51"/>
        <v/>
      </c>
      <c r="R340" t="str">
        <f t="shared" si="52"/>
        <v/>
      </c>
      <c r="S340" t="str">
        <f t="shared" si="53"/>
        <v/>
      </c>
      <c r="T340" t="str">
        <f>IF(C340="","",InventoryTable[[#This Row],[Profit per Unit]]*InventoryTable[[#This Row],[Total Pieces]])</f>
        <v/>
      </c>
      <c r="U340" t="str">
        <f t="shared" si="54"/>
        <v/>
      </c>
      <c r="V340" t="str">
        <f>IF(C340="","",H340-InventoryTable[[#This Row],[Units Sold]])</f>
        <v/>
      </c>
      <c r="W340" t="str">
        <f t="shared" si="55"/>
        <v/>
      </c>
      <c r="X340" t="str">
        <f t="shared" si="56"/>
        <v/>
      </c>
      <c r="Y340" t="str">
        <f>IF(C340="","",IF(InventoryTable[[#This Row],[Stock Balance]]&lt;=0,"Sold Out",IF((InventoryTable[[#This Row],[Stock Balance]]/InventoryTable[[#This Row],[Total Pieces]])&lt;=0.25,"Low on Stocks","Available")))</f>
        <v/>
      </c>
    </row>
    <row r="341" spans="1:25" x14ac:dyDescent="0.3">
      <c r="A341" t="str">
        <f>IF(C341="","",_xlfn.CONCAT(LEFT(InventoryTable[[#This Row],[Category]],1),InventoryTable[[#This Row],[Product Pricing Type]],ROW()))</f>
        <v/>
      </c>
      <c r="H341" t="str">
        <f t="shared" si="47"/>
        <v/>
      </c>
      <c r="K341" t="str">
        <f t="shared" si="48"/>
        <v/>
      </c>
      <c r="N341" t="str">
        <f t="shared" si="49"/>
        <v/>
      </c>
      <c r="P341" t="str">
        <f t="shared" si="50"/>
        <v/>
      </c>
      <c r="Q341" s="4" t="str">
        <f t="shared" si="51"/>
        <v/>
      </c>
      <c r="R341" t="str">
        <f t="shared" si="52"/>
        <v/>
      </c>
      <c r="S341" t="str">
        <f t="shared" si="53"/>
        <v/>
      </c>
      <c r="T341" t="str">
        <f>IF(C341="","",InventoryTable[[#This Row],[Profit per Unit]]*InventoryTable[[#This Row],[Total Pieces]])</f>
        <v/>
      </c>
      <c r="U341" t="str">
        <f t="shared" si="54"/>
        <v/>
      </c>
      <c r="V341" t="str">
        <f>IF(C341="","",H341-InventoryTable[[#This Row],[Units Sold]])</f>
        <v/>
      </c>
      <c r="W341" t="str">
        <f t="shared" si="55"/>
        <v/>
      </c>
      <c r="X341" t="str">
        <f t="shared" si="56"/>
        <v/>
      </c>
      <c r="Y341" t="str">
        <f>IF(C341="","",IF(InventoryTable[[#This Row],[Stock Balance]]&lt;=0,"Sold Out",IF((InventoryTable[[#This Row],[Stock Balance]]/InventoryTable[[#This Row],[Total Pieces]])&lt;=0.25,"Low on Stocks","Available")))</f>
        <v/>
      </c>
    </row>
    <row r="342" spans="1:25" x14ac:dyDescent="0.3">
      <c r="A342" t="str">
        <f>IF(C342="","",_xlfn.CONCAT(LEFT(InventoryTable[[#This Row],[Category]],1),InventoryTable[[#This Row],[Product Pricing Type]],ROW()))</f>
        <v/>
      </c>
      <c r="H342" t="str">
        <f t="shared" si="47"/>
        <v/>
      </c>
      <c r="K342" t="str">
        <f t="shared" si="48"/>
        <v/>
      </c>
      <c r="N342" t="str">
        <f t="shared" si="49"/>
        <v/>
      </c>
      <c r="P342" t="str">
        <f t="shared" si="50"/>
        <v/>
      </c>
      <c r="Q342" s="4" t="str">
        <f t="shared" si="51"/>
        <v/>
      </c>
      <c r="R342" t="str">
        <f t="shared" si="52"/>
        <v/>
      </c>
      <c r="S342" t="str">
        <f t="shared" si="53"/>
        <v/>
      </c>
      <c r="T342" t="str">
        <f>IF(C342="","",InventoryTable[[#This Row],[Profit per Unit]]*InventoryTable[[#This Row],[Total Pieces]])</f>
        <v/>
      </c>
      <c r="U342" t="str">
        <f t="shared" si="54"/>
        <v/>
      </c>
      <c r="V342" t="str">
        <f>IF(C342="","",H342-InventoryTable[[#This Row],[Units Sold]])</f>
        <v/>
      </c>
      <c r="W342" t="str">
        <f t="shared" si="55"/>
        <v/>
      </c>
      <c r="X342" t="str">
        <f t="shared" si="56"/>
        <v/>
      </c>
      <c r="Y342" t="str">
        <f>IF(C342="","",IF(InventoryTable[[#This Row],[Stock Balance]]&lt;=0,"Sold Out",IF((InventoryTable[[#This Row],[Stock Balance]]/InventoryTable[[#This Row],[Total Pieces]])&lt;=0.25,"Low on Stocks","Available")))</f>
        <v/>
      </c>
    </row>
    <row r="343" spans="1:25" x14ac:dyDescent="0.3">
      <c r="A343" t="str">
        <f>IF(C343="","",_xlfn.CONCAT(LEFT(InventoryTable[[#This Row],[Category]],1),InventoryTable[[#This Row],[Product Pricing Type]],ROW()))</f>
        <v/>
      </c>
      <c r="H343" t="str">
        <f t="shared" si="47"/>
        <v/>
      </c>
      <c r="K343" t="str">
        <f t="shared" si="48"/>
        <v/>
      </c>
      <c r="N343" t="str">
        <f t="shared" si="49"/>
        <v/>
      </c>
      <c r="P343" t="str">
        <f t="shared" si="50"/>
        <v/>
      </c>
      <c r="Q343" s="4" t="str">
        <f t="shared" si="51"/>
        <v/>
      </c>
      <c r="R343" t="str">
        <f t="shared" si="52"/>
        <v/>
      </c>
      <c r="S343" t="str">
        <f t="shared" si="53"/>
        <v/>
      </c>
      <c r="T343" t="str">
        <f>IF(C343="","",InventoryTable[[#This Row],[Profit per Unit]]*InventoryTable[[#This Row],[Total Pieces]])</f>
        <v/>
      </c>
      <c r="U343" t="str">
        <f t="shared" si="54"/>
        <v/>
      </c>
      <c r="V343" t="str">
        <f>IF(C343="","",H343-InventoryTable[[#This Row],[Units Sold]])</f>
        <v/>
      </c>
      <c r="W343" t="str">
        <f t="shared" si="55"/>
        <v/>
      </c>
      <c r="X343" t="str">
        <f t="shared" si="56"/>
        <v/>
      </c>
      <c r="Y343" t="str">
        <f>IF(C343="","",IF(InventoryTable[[#This Row],[Stock Balance]]&lt;=0,"Sold Out",IF((InventoryTable[[#This Row],[Stock Balance]]/InventoryTable[[#This Row],[Total Pieces]])&lt;=0.25,"Low on Stocks","Available")))</f>
        <v/>
      </c>
    </row>
    <row r="344" spans="1:25" x14ac:dyDescent="0.3">
      <c r="A344" t="str">
        <f>IF(C344="","",_xlfn.CONCAT(LEFT(InventoryTable[[#This Row],[Category]],1),InventoryTable[[#This Row],[Product Pricing Type]],ROW()))</f>
        <v/>
      </c>
      <c r="H344" t="str">
        <f t="shared" si="47"/>
        <v/>
      </c>
      <c r="K344" t="str">
        <f t="shared" si="48"/>
        <v/>
      </c>
      <c r="N344" t="str">
        <f t="shared" si="49"/>
        <v/>
      </c>
      <c r="P344" t="str">
        <f t="shared" si="50"/>
        <v/>
      </c>
      <c r="Q344" s="4" t="str">
        <f t="shared" si="51"/>
        <v/>
      </c>
      <c r="R344" t="str">
        <f t="shared" si="52"/>
        <v/>
      </c>
      <c r="S344" t="str">
        <f t="shared" si="53"/>
        <v/>
      </c>
      <c r="T344" t="str">
        <f>IF(C344="","",InventoryTable[[#This Row],[Profit per Unit]]*InventoryTable[[#This Row],[Total Pieces]])</f>
        <v/>
      </c>
      <c r="U344" t="str">
        <f t="shared" si="54"/>
        <v/>
      </c>
      <c r="V344" t="str">
        <f>IF(C344="","",H344-InventoryTable[[#This Row],[Units Sold]])</f>
        <v/>
      </c>
      <c r="W344" t="str">
        <f t="shared" si="55"/>
        <v/>
      </c>
      <c r="X344" t="str">
        <f t="shared" si="56"/>
        <v/>
      </c>
      <c r="Y344" t="str">
        <f>IF(C344="","",IF(InventoryTable[[#This Row],[Stock Balance]]&lt;=0,"Sold Out",IF((InventoryTable[[#This Row],[Stock Balance]]/InventoryTable[[#This Row],[Total Pieces]])&lt;=0.25,"Low on Stocks","Available")))</f>
        <v/>
      </c>
    </row>
    <row r="345" spans="1:25" x14ac:dyDescent="0.3">
      <c r="A345" t="str">
        <f>IF(C345="","",_xlfn.CONCAT(LEFT(InventoryTable[[#This Row],[Category]],1),InventoryTable[[#This Row],[Product Pricing Type]],ROW()))</f>
        <v/>
      </c>
      <c r="H345" t="str">
        <f t="shared" si="47"/>
        <v/>
      </c>
      <c r="K345" t="str">
        <f t="shared" si="48"/>
        <v/>
      </c>
      <c r="N345" t="str">
        <f t="shared" si="49"/>
        <v/>
      </c>
      <c r="P345" t="str">
        <f t="shared" si="50"/>
        <v/>
      </c>
      <c r="Q345" s="4" t="str">
        <f t="shared" si="51"/>
        <v/>
      </c>
      <c r="R345" t="str">
        <f t="shared" si="52"/>
        <v/>
      </c>
      <c r="S345" t="str">
        <f t="shared" si="53"/>
        <v/>
      </c>
      <c r="T345" t="str">
        <f>IF(C345="","",InventoryTable[[#This Row],[Profit per Unit]]*InventoryTable[[#This Row],[Total Pieces]])</f>
        <v/>
      </c>
      <c r="U345" t="str">
        <f t="shared" si="54"/>
        <v/>
      </c>
      <c r="V345" t="str">
        <f>IF(C345="","",H345-InventoryTable[[#This Row],[Units Sold]])</f>
        <v/>
      </c>
      <c r="W345" t="str">
        <f t="shared" si="55"/>
        <v/>
      </c>
      <c r="X345" t="str">
        <f t="shared" si="56"/>
        <v/>
      </c>
      <c r="Y345" t="str">
        <f>IF(C345="","",IF(InventoryTable[[#This Row],[Stock Balance]]&lt;=0,"Sold Out",IF((InventoryTable[[#This Row],[Stock Balance]]/InventoryTable[[#This Row],[Total Pieces]])&lt;=0.25,"Low on Stocks","Available")))</f>
        <v/>
      </c>
    </row>
    <row r="346" spans="1:25" x14ac:dyDescent="0.3">
      <c r="A346" t="str">
        <f>IF(C346="","",_xlfn.CONCAT(LEFT(InventoryTable[[#This Row],[Category]],1),InventoryTable[[#This Row],[Product Pricing Type]],ROW()))</f>
        <v/>
      </c>
      <c r="H346" t="str">
        <f t="shared" si="47"/>
        <v/>
      </c>
      <c r="K346" t="str">
        <f t="shared" si="48"/>
        <v/>
      </c>
      <c r="N346" t="str">
        <f t="shared" si="49"/>
        <v/>
      </c>
      <c r="P346" t="str">
        <f t="shared" si="50"/>
        <v/>
      </c>
      <c r="Q346" s="4" t="str">
        <f t="shared" si="51"/>
        <v/>
      </c>
      <c r="R346" t="str">
        <f t="shared" si="52"/>
        <v/>
      </c>
      <c r="S346" t="str">
        <f t="shared" si="53"/>
        <v/>
      </c>
      <c r="T346" t="str">
        <f>IF(C346="","",InventoryTable[[#This Row],[Profit per Unit]]*InventoryTable[[#This Row],[Total Pieces]])</f>
        <v/>
      </c>
      <c r="U346" t="str">
        <f t="shared" si="54"/>
        <v/>
      </c>
      <c r="V346" t="str">
        <f>IF(C346="","",H346-InventoryTable[[#This Row],[Units Sold]])</f>
        <v/>
      </c>
      <c r="W346" t="str">
        <f t="shared" si="55"/>
        <v/>
      </c>
      <c r="X346" t="str">
        <f t="shared" si="56"/>
        <v/>
      </c>
      <c r="Y346" t="str">
        <f>IF(C346="","",IF(InventoryTable[[#This Row],[Stock Balance]]&lt;=0,"Sold Out",IF((InventoryTable[[#This Row],[Stock Balance]]/InventoryTable[[#This Row],[Total Pieces]])&lt;=0.25,"Low on Stocks","Available")))</f>
        <v/>
      </c>
    </row>
    <row r="347" spans="1:25" x14ac:dyDescent="0.3">
      <c r="A347" t="str">
        <f>IF(C347="","",_xlfn.CONCAT(LEFT(InventoryTable[[#This Row],[Category]],1),InventoryTable[[#This Row],[Product Pricing Type]],ROW()))</f>
        <v/>
      </c>
      <c r="H347" t="str">
        <f t="shared" si="47"/>
        <v/>
      </c>
      <c r="K347" t="str">
        <f t="shared" si="48"/>
        <v/>
      </c>
      <c r="N347" t="str">
        <f t="shared" si="49"/>
        <v/>
      </c>
      <c r="P347" t="str">
        <f t="shared" si="50"/>
        <v/>
      </c>
      <c r="Q347" s="4" t="str">
        <f t="shared" si="51"/>
        <v/>
      </c>
      <c r="R347" t="str">
        <f t="shared" si="52"/>
        <v/>
      </c>
      <c r="S347" t="str">
        <f t="shared" si="53"/>
        <v/>
      </c>
      <c r="T347" t="str">
        <f>IF(C347="","",InventoryTable[[#This Row],[Profit per Unit]]*InventoryTable[[#This Row],[Total Pieces]])</f>
        <v/>
      </c>
      <c r="U347" t="str">
        <f t="shared" si="54"/>
        <v/>
      </c>
      <c r="V347" t="str">
        <f>IF(C347="","",H347-InventoryTable[[#This Row],[Units Sold]])</f>
        <v/>
      </c>
      <c r="W347" t="str">
        <f t="shared" si="55"/>
        <v/>
      </c>
      <c r="X347" t="str">
        <f t="shared" si="56"/>
        <v/>
      </c>
      <c r="Y347" t="str">
        <f>IF(C347="","",IF(InventoryTable[[#This Row],[Stock Balance]]&lt;=0,"Sold Out",IF((InventoryTable[[#This Row],[Stock Balance]]/InventoryTable[[#This Row],[Total Pieces]])&lt;=0.25,"Low on Stocks","Available")))</f>
        <v/>
      </c>
    </row>
    <row r="348" spans="1:25" x14ac:dyDescent="0.3">
      <c r="A348" t="str">
        <f>IF(C348="","",_xlfn.CONCAT(LEFT(InventoryTable[[#This Row],[Category]],1),InventoryTable[[#This Row],[Product Pricing Type]],ROW()))</f>
        <v/>
      </c>
      <c r="H348" t="str">
        <f t="shared" si="47"/>
        <v/>
      </c>
      <c r="K348" t="str">
        <f t="shared" si="48"/>
        <v/>
      </c>
      <c r="N348" t="str">
        <f t="shared" si="49"/>
        <v/>
      </c>
      <c r="P348" t="str">
        <f t="shared" si="50"/>
        <v/>
      </c>
      <c r="Q348" s="4" t="str">
        <f t="shared" si="51"/>
        <v/>
      </c>
      <c r="R348" t="str">
        <f t="shared" si="52"/>
        <v/>
      </c>
      <c r="S348" t="str">
        <f t="shared" si="53"/>
        <v/>
      </c>
      <c r="T348" t="str">
        <f>IF(C348="","",InventoryTable[[#This Row],[Profit per Unit]]*InventoryTable[[#This Row],[Total Pieces]])</f>
        <v/>
      </c>
      <c r="U348" t="str">
        <f t="shared" si="54"/>
        <v/>
      </c>
      <c r="V348" t="str">
        <f>IF(C348="","",H348-InventoryTable[[#This Row],[Units Sold]])</f>
        <v/>
      </c>
      <c r="W348" t="str">
        <f t="shared" si="55"/>
        <v/>
      </c>
      <c r="X348" t="str">
        <f t="shared" si="56"/>
        <v/>
      </c>
      <c r="Y348" t="str">
        <f>IF(C348="","",IF(InventoryTable[[#This Row],[Stock Balance]]&lt;=0,"Sold Out",IF((InventoryTable[[#This Row],[Stock Balance]]/InventoryTable[[#This Row],[Total Pieces]])&lt;=0.25,"Low on Stocks","Available")))</f>
        <v/>
      </c>
    </row>
    <row r="349" spans="1:25" x14ac:dyDescent="0.3">
      <c r="A349" t="str">
        <f>IF(C349="","",_xlfn.CONCAT(LEFT(InventoryTable[[#This Row],[Category]],1),InventoryTable[[#This Row],[Product Pricing Type]],ROW()))</f>
        <v/>
      </c>
      <c r="H349" t="str">
        <f t="shared" si="47"/>
        <v/>
      </c>
      <c r="K349" t="str">
        <f t="shared" si="48"/>
        <v/>
      </c>
      <c r="N349" t="str">
        <f t="shared" si="49"/>
        <v/>
      </c>
      <c r="P349" t="str">
        <f t="shared" si="50"/>
        <v/>
      </c>
      <c r="Q349" s="4" t="str">
        <f t="shared" si="51"/>
        <v/>
      </c>
      <c r="R349" t="str">
        <f t="shared" si="52"/>
        <v/>
      </c>
      <c r="S349" t="str">
        <f t="shared" si="53"/>
        <v/>
      </c>
      <c r="T349" t="str">
        <f>IF(C349="","",InventoryTable[[#This Row],[Profit per Unit]]*InventoryTable[[#This Row],[Total Pieces]])</f>
        <v/>
      </c>
      <c r="U349" t="str">
        <f t="shared" si="54"/>
        <v/>
      </c>
      <c r="V349" t="str">
        <f>IF(C349="","",H349-InventoryTable[[#This Row],[Units Sold]])</f>
        <v/>
      </c>
      <c r="W349" t="str">
        <f t="shared" si="55"/>
        <v/>
      </c>
      <c r="X349" t="str">
        <f t="shared" si="56"/>
        <v/>
      </c>
      <c r="Y349" t="str">
        <f>IF(C349="","",IF(InventoryTable[[#This Row],[Stock Balance]]&lt;=0,"Sold Out",IF((InventoryTable[[#This Row],[Stock Balance]]/InventoryTable[[#This Row],[Total Pieces]])&lt;=0.25,"Low on Stocks","Available")))</f>
        <v/>
      </c>
    </row>
    <row r="350" spans="1:25" x14ac:dyDescent="0.3">
      <c r="A350" t="str">
        <f>IF(C350="","",_xlfn.CONCAT(LEFT(InventoryTable[[#This Row],[Category]],1),InventoryTable[[#This Row],[Product Pricing Type]],ROW()))</f>
        <v/>
      </c>
      <c r="H350" t="str">
        <f t="shared" si="47"/>
        <v/>
      </c>
      <c r="K350" t="str">
        <f t="shared" si="48"/>
        <v/>
      </c>
      <c r="N350" t="str">
        <f t="shared" si="49"/>
        <v/>
      </c>
      <c r="P350" t="str">
        <f t="shared" si="50"/>
        <v/>
      </c>
      <c r="Q350" s="4" t="str">
        <f t="shared" si="51"/>
        <v/>
      </c>
      <c r="R350" t="str">
        <f t="shared" si="52"/>
        <v/>
      </c>
      <c r="S350" t="str">
        <f t="shared" si="53"/>
        <v/>
      </c>
      <c r="T350" t="str">
        <f>IF(C350="","",InventoryTable[[#This Row],[Profit per Unit]]*InventoryTable[[#This Row],[Total Pieces]])</f>
        <v/>
      </c>
      <c r="U350" t="str">
        <f t="shared" si="54"/>
        <v/>
      </c>
      <c r="V350" t="str">
        <f>IF(C350="","",H350-InventoryTable[[#This Row],[Units Sold]])</f>
        <v/>
      </c>
      <c r="W350" t="str">
        <f t="shared" si="55"/>
        <v/>
      </c>
      <c r="X350" t="str">
        <f t="shared" si="56"/>
        <v/>
      </c>
      <c r="Y350" t="str">
        <f>IF(C350="","",IF(InventoryTable[[#This Row],[Stock Balance]]&lt;=0,"Sold Out",IF((InventoryTable[[#This Row],[Stock Balance]]/InventoryTable[[#This Row],[Total Pieces]])&lt;=0.25,"Low on Stocks","Available")))</f>
        <v/>
      </c>
    </row>
    <row r="351" spans="1:25" x14ac:dyDescent="0.3">
      <c r="A351" t="str">
        <f>IF(C351="","",_xlfn.CONCAT(LEFT(InventoryTable[[#This Row],[Category]],1),InventoryTable[[#This Row],[Product Pricing Type]],ROW()))</f>
        <v/>
      </c>
      <c r="H351" t="str">
        <f t="shared" si="47"/>
        <v/>
      </c>
      <c r="K351" t="str">
        <f t="shared" si="48"/>
        <v/>
      </c>
      <c r="N351" t="str">
        <f t="shared" si="49"/>
        <v/>
      </c>
      <c r="P351" t="str">
        <f t="shared" si="50"/>
        <v/>
      </c>
      <c r="Q351" s="4" t="str">
        <f t="shared" si="51"/>
        <v/>
      </c>
      <c r="R351" t="str">
        <f t="shared" si="52"/>
        <v/>
      </c>
      <c r="S351" t="str">
        <f t="shared" si="53"/>
        <v/>
      </c>
      <c r="T351" t="str">
        <f>IF(C351="","",InventoryTable[[#This Row],[Profit per Unit]]*InventoryTable[[#This Row],[Total Pieces]])</f>
        <v/>
      </c>
      <c r="U351" t="str">
        <f t="shared" si="54"/>
        <v/>
      </c>
      <c r="V351" t="str">
        <f>IF(C351="","",H351-InventoryTable[[#This Row],[Units Sold]])</f>
        <v/>
      </c>
      <c r="W351" t="str">
        <f t="shared" si="55"/>
        <v/>
      </c>
      <c r="X351" t="str">
        <f t="shared" si="56"/>
        <v/>
      </c>
      <c r="Y351" t="str">
        <f>IF(C351="","",IF(InventoryTable[[#This Row],[Stock Balance]]&lt;=0,"Sold Out",IF((InventoryTable[[#This Row],[Stock Balance]]/InventoryTable[[#This Row],[Total Pieces]])&lt;=0.25,"Low on Stocks","Available")))</f>
        <v/>
      </c>
    </row>
    <row r="352" spans="1:25" x14ac:dyDescent="0.3">
      <c r="A352" t="str">
        <f>IF(C352="","",_xlfn.CONCAT(LEFT(InventoryTable[[#This Row],[Category]],1),InventoryTable[[#This Row],[Product Pricing Type]],ROW()))</f>
        <v/>
      </c>
      <c r="H352" t="str">
        <f t="shared" si="47"/>
        <v/>
      </c>
      <c r="K352" t="str">
        <f t="shared" si="48"/>
        <v/>
      </c>
      <c r="N352" t="str">
        <f t="shared" si="49"/>
        <v/>
      </c>
      <c r="P352" t="str">
        <f t="shared" si="50"/>
        <v/>
      </c>
      <c r="Q352" s="4" t="str">
        <f t="shared" si="51"/>
        <v/>
      </c>
      <c r="R352" t="str">
        <f t="shared" si="52"/>
        <v/>
      </c>
      <c r="S352" t="str">
        <f t="shared" si="53"/>
        <v/>
      </c>
      <c r="T352" t="str">
        <f>IF(C352="","",InventoryTable[[#This Row],[Profit per Unit]]*InventoryTable[[#This Row],[Total Pieces]])</f>
        <v/>
      </c>
      <c r="U352" t="str">
        <f t="shared" si="54"/>
        <v/>
      </c>
      <c r="V352" t="str">
        <f>IF(C352="","",H352-InventoryTable[[#This Row],[Units Sold]])</f>
        <v/>
      </c>
      <c r="W352" t="str">
        <f t="shared" si="55"/>
        <v/>
      </c>
      <c r="X352" t="str">
        <f t="shared" si="56"/>
        <v/>
      </c>
      <c r="Y352" t="str">
        <f>IF(C352="","",IF(InventoryTable[[#This Row],[Stock Balance]]&lt;=0,"Sold Out",IF((InventoryTable[[#This Row],[Stock Balance]]/InventoryTable[[#This Row],[Total Pieces]])&lt;=0.25,"Low on Stocks","Available")))</f>
        <v/>
      </c>
    </row>
    <row r="353" spans="1:25" x14ac:dyDescent="0.3">
      <c r="A353" t="str">
        <f>IF(C353="","",_xlfn.CONCAT(LEFT(InventoryTable[[#This Row],[Category]],1),InventoryTable[[#This Row],[Product Pricing Type]],ROW()))</f>
        <v/>
      </c>
      <c r="H353" t="str">
        <f t="shared" ref="H353:H416" si="57">IF(C353="","",G353*F353)</f>
        <v/>
      </c>
      <c r="K353" t="str">
        <f t="shared" ref="K353:K416" si="58">IF(C353="","",IF(J353=1,I353/H353,I353*G353*F353))</f>
        <v/>
      </c>
      <c r="N353" t="str">
        <f t="shared" ref="N353:N416" si="59">IF(C353="","",IF(J353=1,K353+(K353*M353),I353+(I353*M353)))</f>
        <v/>
      </c>
      <c r="P353" t="str">
        <f t="shared" ref="P353:P416" si="60">IF(C353="","",N353+(N353*O353))</f>
        <v/>
      </c>
      <c r="Q353" s="4" t="str">
        <f t="shared" ref="Q353:Q416" si="61">IF(C353="","",ROUNDUP(P353,0))</f>
        <v/>
      </c>
      <c r="R353" t="str">
        <f t="shared" ref="R353:R416" si="62">IF(C353="","")</f>
        <v/>
      </c>
      <c r="S353" t="str">
        <f t="shared" ref="S353:S416" si="63">IF(C353="","",IF(COUNTIF(C353,"*Fixed*")&gt;0,(K353-R353)/H353,IF(J353=1,Q353-K353,Q353-I353)))</f>
        <v/>
      </c>
      <c r="T353" t="str">
        <f>IF(C353="","",InventoryTable[[#This Row],[Profit per Unit]]*InventoryTable[[#This Row],[Total Pieces]])</f>
        <v/>
      </c>
      <c r="U353" t="str">
        <f t="shared" si="54"/>
        <v/>
      </c>
      <c r="V353" t="str">
        <f>IF(C353="","",H353-InventoryTable[[#This Row],[Units Sold]])</f>
        <v/>
      </c>
      <c r="W353" t="str">
        <f t="shared" si="55"/>
        <v/>
      </c>
      <c r="X353" t="str">
        <f t="shared" si="56"/>
        <v/>
      </c>
      <c r="Y353" t="str">
        <f>IF(C353="","",IF(InventoryTable[[#This Row],[Stock Balance]]&lt;=0,"Sold Out",IF((InventoryTable[[#This Row],[Stock Balance]]/InventoryTable[[#This Row],[Total Pieces]])&lt;=0.25,"Low on Stocks","Available")))</f>
        <v/>
      </c>
    </row>
    <row r="354" spans="1:25" x14ac:dyDescent="0.3">
      <c r="A354" t="str">
        <f>IF(C354="","",_xlfn.CONCAT(LEFT(InventoryTable[[#This Row],[Category]],1),InventoryTable[[#This Row],[Product Pricing Type]],ROW()))</f>
        <v/>
      </c>
      <c r="H354" t="str">
        <f t="shared" si="57"/>
        <v/>
      </c>
      <c r="K354" t="str">
        <f t="shared" si="58"/>
        <v/>
      </c>
      <c r="N354" t="str">
        <f t="shared" si="59"/>
        <v/>
      </c>
      <c r="P354" t="str">
        <f t="shared" si="60"/>
        <v/>
      </c>
      <c r="Q354" s="4" t="str">
        <f t="shared" si="61"/>
        <v/>
      </c>
      <c r="R354" t="str">
        <f t="shared" si="62"/>
        <v/>
      </c>
      <c r="S354" t="str">
        <f t="shared" si="63"/>
        <v/>
      </c>
      <c r="T354" t="str">
        <f>IF(C354="","",InventoryTable[[#This Row],[Profit per Unit]]*InventoryTable[[#This Row],[Total Pieces]])</f>
        <v/>
      </c>
      <c r="U354" t="str">
        <f t="shared" si="54"/>
        <v/>
      </c>
      <c r="V354" t="str">
        <f>IF(C354="","",H354-InventoryTable[[#This Row],[Units Sold]])</f>
        <v/>
      </c>
      <c r="W354" t="str">
        <f t="shared" si="55"/>
        <v/>
      </c>
      <c r="X354" t="str">
        <f t="shared" si="56"/>
        <v/>
      </c>
      <c r="Y354" t="str">
        <f>IF(C354="","",IF(InventoryTable[[#This Row],[Stock Balance]]&lt;=0,"Sold Out",IF((InventoryTable[[#This Row],[Stock Balance]]/InventoryTable[[#This Row],[Total Pieces]])&lt;=0.25,"Low on Stocks","Available")))</f>
        <v/>
      </c>
    </row>
    <row r="355" spans="1:25" x14ac:dyDescent="0.3">
      <c r="A355" t="str">
        <f>IF(C355="","",_xlfn.CONCAT(LEFT(InventoryTable[[#This Row],[Category]],1),InventoryTable[[#This Row],[Product Pricing Type]],ROW()))</f>
        <v/>
      </c>
      <c r="H355" t="str">
        <f t="shared" si="57"/>
        <v/>
      </c>
      <c r="K355" t="str">
        <f t="shared" si="58"/>
        <v/>
      </c>
      <c r="N355" t="str">
        <f t="shared" si="59"/>
        <v/>
      </c>
      <c r="P355" t="str">
        <f t="shared" si="60"/>
        <v/>
      </c>
      <c r="Q355" s="4" t="str">
        <f t="shared" si="61"/>
        <v/>
      </c>
      <c r="R355" t="str">
        <f t="shared" si="62"/>
        <v/>
      </c>
      <c r="S355" t="str">
        <f t="shared" si="63"/>
        <v/>
      </c>
      <c r="T355" t="str">
        <f>IF(C355="","",InventoryTable[[#This Row],[Profit per Unit]]*InventoryTable[[#This Row],[Total Pieces]])</f>
        <v/>
      </c>
      <c r="U355" t="str">
        <f t="shared" si="54"/>
        <v/>
      </c>
      <c r="V355" t="str">
        <f>IF(C355="","",H355-InventoryTable[[#This Row],[Units Sold]])</f>
        <v/>
      </c>
      <c r="W355" t="str">
        <f t="shared" si="55"/>
        <v/>
      </c>
      <c r="X355" t="str">
        <f t="shared" si="56"/>
        <v/>
      </c>
      <c r="Y355" t="str">
        <f>IF(C355="","",IF(InventoryTable[[#This Row],[Stock Balance]]&lt;=0,"Sold Out",IF((InventoryTable[[#This Row],[Stock Balance]]/InventoryTable[[#This Row],[Total Pieces]])&lt;=0.25,"Low on Stocks","Available")))</f>
        <v/>
      </c>
    </row>
    <row r="356" spans="1:25" x14ac:dyDescent="0.3">
      <c r="A356" t="str">
        <f>IF(C356="","",_xlfn.CONCAT(LEFT(InventoryTable[[#This Row],[Category]],1),InventoryTable[[#This Row],[Product Pricing Type]],ROW()))</f>
        <v/>
      </c>
      <c r="H356" t="str">
        <f t="shared" si="57"/>
        <v/>
      </c>
      <c r="K356" t="str">
        <f t="shared" si="58"/>
        <v/>
      </c>
      <c r="N356" t="str">
        <f t="shared" si="59"/>
        <v/>
      </c>
      <c r="P356" t="str">
        <f t="shared" si="60"/>
        <v/>
      </c>
      <c r="Q356" s="4" t="str">
        <f t="shared" si="61"/>
        <v/>
      </c>
      <c r="R356" t="str">
        <f t="shared" si="62"/>
        <v/>
      </c>
      <c r="S356" t="str">
        <f t="shared" si="63"/>
        <v/>
      </c>
      <c r="T356" t="str">
        <f>IF(C356="","",InventoryTable[[#This Row],[Profit per Unit]]*InventoryTable[[#This Row],[Total Pieces]])</f>
        <v/>
      </c>
      <c r="U356" t="str">
        <f t="shared" si="54"/>
        <v/>
      </c>
      <c r="V356" t="str">
        <f>IF(C356="","",H356-InventoryTable[[#This Row],[Units Sold]])</f>
        <v/>
      </c>
      <c r="W356" t="str">
        <f t="shared" si="55"/>
        <v/>
      </c>
      <c r="X356" t="str">
        <f t="shared" si="56"/>
        <v/>
      </c>
      <c r="Y356" t="str">
        <f>IF(C356="","",IF(InventoryTable[[#This Row],[Stock Balance]]&lt;=0,"Sold Out",IF((InventoryTable[[#This Row],[Stock Balance]]/InventoryTable[[#This Row],[Total Pieces]])&lt;=0.25,"Low on Stocks","Available")))</f>
        <v/>
      </c>
    </row>
    <row r="357" spans="1:25" x14ac:dyDescent="0.3">
      <c r="A357" t="str">
        <f>IF(C357="","",_xlfn.CONCAT(LEFT(InventoryTable[[#This Row],[Category]],1),InventoryTable[[#This Row],[Product Pricing Type]],ROW()))</f>
        <v/>
      </c>
      <c r="H357" t="str">
        <f t="shared" si="57"/>
        <v/>
      </c>
      <c r="K357" t="str">
        <f t="shared" si="58"/>
        <v/>
      </c>
      <c r="N357" t="str">
        <f t="shared" si="59"/>
        <v/>
      </c>
      <c r="P357" t="str">
        <f t="shared" si="60"/>
        <v/>
      </c>
      <c r="Q357" s="4" t="str">
        <f t="shared" si="61"/>
        <v/>
      </c>
      <c r="R357" t="str">
        <f t="shared" si="62"/>
        <v/>
      </c>
      <c r="S357" t="str">
        <f t="shared" si="63"/>
        <v/>
      </c>
      <c r="T357" t="str">
        <f>IF(C357="","",InventoryTable[[#This Row],[Profit per Unit]]*InventoryTable[[#This Row],[Total Pieces]])</f>
        <v/>
      </c>
      <c r="U357" t="str">
        <f t="shared" si="54"/>
        <v/>
      </c>
      <c r="V357" t="str">
        <f>IF(C357="","",H357-InventoryTable[[#This Row],[Units Sold]])</f>
        <v/>
      </c>
      <c r="W357" t="str">
        <f t="shared" si="55"/>
        <v/>
      </c>
      <c r="X357" t="str">
        <f t="shared" si="56"/>
        <v/>
      </c>
      <c r="Y357" t="str">
        <f>IF(C357="","",IF(InventoryTable[[#This Row],[Stock Balance]]&lt;=0,"Sold Out",IF((InventoryTable[[#This Row],[Stock Balance]]/InventoryTable[[#This Row],[Total Pieces]])&lt;=0.25,"Low on Stocks","Available")))</f>
        <v/>
      </c>
    </row>
    <row r="358" spans="1:25" x14ac:dyDescent="0.3">
      <c r="A358" t="str">
        <f>IF(C358="","",_xlfn.CONCAT(LEFT(InventoryTable[[#This Row],[Category]],1),InventoryTable[[#This Row],[Product Pricing Type]],ROW()))</f>
        <v/>
      </c>
      <c r="H358" t="str">
        <f t="shared" si="57"/>
        <v/>
      </c>
      <c r="K358" t="str">
        <f t="shared" si="58"/>
        <v/>
      </c>
      <c r="N358" t="str">
        <f t="shared" si="59"/>
        <v/>
      </c>
      <c r="P358" t="str">
        <f t="shared" si="60"/>
        <v/>
      </c>
      <c r="Q358" s="4" t="str">
        <f t="shared" si="61"/>
        <v/>
      </c>
      <c r="R358" t="str">
        <f t="shared" si="62"/>
        <v/>
      </c>
      <c r="S358" t="str">
        <f t="shared" si="63"/>
        <v/>
      </c>
      <c r="T358" t="str">
        <f>IF(C358="","",InventoryTable[[#This Row],[Profit per Unit]]*InventoryTable[[#This Row],[Total Pieces]])</f>
        <v/>
      </c>
      <c r="U358" t="str">
        <f t="shared" si="54"/>
        <v/>
      </c>
      <c r="V358" t="str">
        <f>IF(C358="","",H358-InventoryTable[[#This Row],[Units Sold]])</f>
        <v/>
      </c>
      <c r="W358" t="str">
        <f t="shared" si="55"/>
        <v/>
      </c>
      <c r="X358" t="str">
        <f t="shared" si="56"/>
        <v/>
      </c>
      <c r="Y358" t="str">
        <f>IF(C358="","",IF(InventoryTable[[#This Row],[Stock Balance]]&lt;=0,"Sold Out",IF((InventoryTable[[#This Row],[Stock Balance]]/InventoryTable[[#This Row],[Total Pieces]])&lt;=0.25,"Low on Stocks","Available")))</f>
        <v/>
      </c>
    </row>
    <row r="359" spans="1:25" x14ac:dyDescent="0.3">
      <c r="A359" t="str">
        <f>IF(C359="","",_xlfn.CONCAT(LEFT(InventoryTable[[#This Row],[Category]],1),InventoryTable[[#This Row],[Product Pricing Type]],ROW()))</f>
        <v/>
      </c>
      <c r="H359" t="str">
        <f t="shared" si="57"/>
        <v/>
      </c>
      <c r="K359" t="str">
        <f t="shared" si="58"/>
        <v/>
      </c>
      <c r="N359" t="str">
        <f t="shared" si="59"/>
        <v/>
      </c>
      <c r="P359" t="str">
        <f t="shared" si="60"/>
        <v/>
      </c>
      <c r="Q359" s="4" t="str">
        <f t="shared" si="61"/>
        <v/>
      </c>
      <c r="R359" t="str">
        <f t="shared" si="62"/>
        <v/>
      </c>
      <c r="S359" t="str">
        <f t="shared" si="63"/>
        <v/>
      </c>
      <c r="T359" t="str">
        <f>IF(C359="","",InventoryTable[[#This Row],[Profit per Unit]]*InventoryTable[[#This Row],[Total Pieces]])</f>
        <v/>
      </c>
      <c r="U359" t="str">
        <f t="shared" si="54"/>
        <v/>
      </c>
      <c r="V359" t="str">
        <f>IF(C359="","",H359-InventoryTable[[#This Row],[Units Sold]])</f>
        <v/>
      </c>
      <c r="W359" t="str">
        <f t="shared" si="55"/>
        <v/>
      </c>
      <c r="X359" t="str">
        <f t="shared" si="56"/>
        <v/>
      </c>
      <c r="Y359" t="str">
        <f>IF(C359="","",IF(InventoryTable[[#This Row],[Stock Balance]]&lt;=0,"Sold Out",IF((InventoryTable[[#This Row],[Stock Balance]]/InventoryTable[[#This Row],[Total Pieces]])&lt;=0.25,"Low on Stocks","Available")))</f>
        <v/>
      </c>
    </row>
    <row r="360" spans="1:25" x14ac:dyDescent="0.3">
      <c r="A360" t="str">
        <f>IF(C360="","",_xlfn.CONCAT(LEFT(InventoryTable[[#This Row],[Category]],1),InventoryTable[[#This Row],[Product Pricing Type]],ROW()))</f>
        <v/>
      </c>
      <c r="H360" t="str">
        <f t="shared" si="57"/>
        <v/>
      </c>
      <c r="K360" t="str">
        <f t="shared" si="58"/>
        <v/>
      </c>
      <c r="N360" t="str">
        <f t="shared" si="59"/>
        <v/>
      </c>
      <c r="P360" t="str">
        <f t="shared" si="60"/>
        <v/>
      </c>
      <c r="Q360" s="4" t="str">
        <f t="shared" si="61"/>
        <v/>
      </c>
      <c r="R360" t="str">
        <f t="shared" si="62"/>
        <v/>
      </c>
      <c r="S360" t="str">
        <f t="shared" si="63"/>
        <v/>
      </c>
      <c r="T360" t="str">
        <f>IF(C360="","",InventoryTable[[#This Row],[Profit per Unit]]*InventoryTable[[#This Row],[Total Pieces]])</f>
        <v/>
      </c>
      <c r="U360" t="str">
        <f t="shared" si="54"/>
        <v/>
      </c>
      <c r="V360" t="str">
        <f>IF(C360="","",H360-InventoryTable[[#This Row],[Units Sold]])</f>
        <v/>
      </c>
      <c r="W360" t="str">
        <f t="shared" si="55"/>
        <v/>
      </c>
      <c r="X360" t="str">
        <f t="shared" si="56"/>
        <v/>
      </c>
      <c r="Y360" t="str">
        <f>IF(C360="","",IF(InventoryTable[[#This Row],[Stock Balance]]&lt;=0,"Sold Out",IF((InventoryTable[[#This Row],[Stock Balance]]/InventoryTable[[#This Row],[Total Pieces]])&lt;=0.25,"Low on Stocks","Available")))</f>
        <v/>
      </c>
    </row>
    <row r="361" spans="1:25" x14ac:dyDescent="0.3">
      <c r="A361" t="str">
        <f>IF(C361="","",_xlfn.CONCAT(LEFT(InventoryTable[[#This Row],[Category]],1),InventoryTable[[#This Row],[Product Pricing Type]],ROW()))</f>
        <v/>
      </c>
      <c r="H361" t="str">
        <f t="shared" si="57"/>
        <v/>
      </c>
      <c r="K361" t="str">
        <f t="shared" si="58"/>
        <v/>
      </c>
      <c r="N361" t="str">
        <f t="shared" si="59"/>
        <v/>
      </c>
      <c r="P361" t="str">
        <f t="shared" si="60"/>
        <v/>
      </c>
      <c r="Q361" s="4" t="str">
        <f t="shared" si="61"/>
        <v/>
      </c>
      <c r="R361" t="str">
        <f t="shared" si="62"/>
        <v/>
      </c>
      <c r="S361" t="str">
        <f t="shared" si="63"/>
        <v/>
      </c>
      <c r="T361" t="str">
        <f>IF(C361="","",InventoryTable[[#This Row],[Profit per Unit]]*InventoryTable[[#This Row],[Total Pieces]])</f>
        <v/>
      </c>
      <c r="U361" t="str">
        <f t="shared" si="54"/>
        <v/>
      </c>
      <c r="V361" t="str">
        <f>IF(C361="","",H361-InventoryTable[[#This Row],[Units Sold]])</f>
        <v/>
      </c>
      <c r="W361" t="str">
        <f t="shared" si="55"/>
        <v/>
      </c>
      <c r="X361" t="str">
        <f t="shared" si="56"/>
        <v/>
      </c>
      <c r="Y361" t="str">
        <f>IF(C361="","",IF(InventoryTable[[#This Row],[Stock Balance]]&lt;=0,"Sold Out",IF((InventoryTable[[#This Row],[Stock Balance]]/InventoryTable[[#This Row],[Total Pieces]])&lt;=0.25,"Low on Stocks","Available")))</f>
        <v/>
      </c>
    </row>
    <row r="362" spans="1:25" x14ac:dyDescent="0.3">
      <c r="A362" t="str">
        <f>IF(C362="","",_xlfn.CONCAT(LEFT(InventoryTable[[#This Row],[Category]],1),InventoryTable[[#This Row],[Product Pricing Type]],ROW()))</f>
        <v/>
      </c>
      <c r="H362" t="str">
        <f t="shared" si="57"/>
        <v/>
      </c>
      <c r="K362" t="str">
        <f t="shared" si="58"/>
        <v/>
      </c>
      <c r="N362" t="str">
        <f t="shared" si="59"/>
        <v/>
      </c>
      <c r="P362" t="str">
        <f t="shared" si="60"/>
        <v/>
      </c>
      <c r="Q362" s="4" t="str">
        <f t="shared" si="61"/>
        <v/>
      </c>
      <c r="R362" t="str">
        <f t="shared" si="62"/>
        <v/>
      </c>
      <c r="S362" t="str">
        <f t="shared" si="63"/>
        <v/>
      </c>
      <c r="T362" t="str">
        <f>IF(C362="","",InventoryTable[[#This Row],[Profit per Unit]]*InventoryTable[[#This Row],[Total Pieces]])</f>
        <v/>
      </c>
      <c r="U362" t="str">
        <f t="shared" si="54"/>
        <v/>
      </c>
      <c r="V362" t="str">
        <f>IF(C362="","",H362-InventoryTable[[#This Row],[Units Sold]])</f>
        <v/>
      </c>
      <c r="W362" t="str">
        <f t="shared" si="55"/>
        <v/>
      </c>
      <c r="X362" t="str">
        <f t="shared" si="56"/>
        <v/>
      </c>
      <c r="Y362" t="str">
        <f>IF(C362="","",IF(InventoryTable[[#This Row],[Stock Balance]]&lt;=0,"Sold Out",IF((InventoryTable[[#This Row],[Stock Balance]]/InventoryTable[[#This Row],[Total Pieces]])&lt;=0.25,"Low on Stocks","Available")))</f>
        <v/>
      </c>
    </row>
    <row r="363" spans="1:25" x14ac:dyDescent="0.3">
      <c r="A363" t="str">
        <f>IF(C363="","",_xlfn.CONCAT(LEFT(InventoryTable[[#This Row],[Category]],1),InventoryTable[[#This Row],[Product Pricing Type]],ROW()))</f>
        <v/>
      </c>
      <c r="H363" t="str">
        <f t="shared" si="57"/>
        <v/>
      </c>
      <c r="K363" t="str">
        <f t="shared" si="58"/>
        <v/>
      </c>
      <c r="N363" t="str">
        <f t="shared" si="59"/>
        <v/>
      </c>
      <c r="P363" t="str">
        <f t="shared" si="60"/>
        <v/>
      </c>
      <c r="Q363" s="4" t="str">
        <f t="shared" si="61"/>
        <v/>
      </c>
      <c r="R363" t="str">
        <f t="shared" si="62"/>
        <v/>
      </c>
      <c r="S363" t="str">
        <f t="shared" si="63"/>
        <v/>
      </c>
      <c r="T363" t="str">
        <f>IF(C363="","",InventoryTable[[#This Row],[Profit per Unit]]*InventoryTable[[#This Row],[Total Pieces]])</f>
        <v/>
      </c>
      <c r="U363" t="str">
        <f t="shared" si="54"/>
        <v/>
      </c>
      <c r="V363" t="str">
        <f>IF(C363="","",H363-InventoryTable[[#This Row],[Units Sold]])</f>
        <v/>
      </c>
      <c r="W363" t="str">
        <f t="shared" si="55"/>
        <v/>
      </c>
      <c r="X363" t="str">
        <f t="shared" si="56"/>
        <v/>
      </c>
      <c r="Y363" t="str">
        <f>IF(C363="","",IF(InventoryTable[[#This Row],[Stock Balance]]&lt;=0,"Sold Out",IF((InventoryTable[[#This Row],[Stock Balance]]/InventoryTable[[#This Row],[Total Pieces]])&lt;=0.25,"Low on Stocks","Available")))</f>
        <v/>
      </c>
    </row>
    <row r="364" spans="1:25" x14ac:dyDescent="0.3">
      <c r="A364" t="str">
        <f>IF(C364="","",_xlfn.CONCAT(LEFT(InventoryTable[[#This Row],[Category]],1),InventoryTable[[#This Row],[Product Pricing Type]],ROW()))</f>
        <v/>
      </c>
      <c r="H364" t="str">
        <f t="shared" si="57"/>
        <v/>
      </c>
      <c r="K364" t="str">
        <f t="shared" si="58"/>
        <v/>
      </c>
      <c r="N364" t="str">
        <f t="shared" si="59"/>
        <v/>
      </c>
      <c r="P364" t="str">
        <f t="shared" si="60"/>
        <v/>
      </c>
      <c r="Q364" s="4" t="str">
        <f t="shared" si="61"/>
        <v/>
      </c>
      <c r="R364" t="str">
        <f t="shared" si="62"/>
        <v/>
      </c>
      <c r="S364" t="str">
        <f t="shared" si="63"/>
        <v/>
      </c>
      <c r="T364" t="str">
        <f>IF(C364="","",InventoryTable[[#This Row],[Profit per Unit]]*InventoryTable[[#This Row],[Total Pieces]])</f>
        <v/>
      </c>
      <c r="U364" t="str">
        <f t="shared" si="54"/>
        <v/>
      </c>
      <c r="V364" t="str">
        <f>IF(C364="","",H364-InventoryTable[[#This Row],[Units Sold]])</f>
        <v/>
      </c>
      <c r="W364" t="str">
        <f t="shared" si="55"/>
        <v/>
      </c>
      <c r="X364" t="str">
        <f t="shared" si="56"/>
        <v/>
      </c>
      <c r="Y364" t="str">
        <f>IF(C364="","",IF(InventoryTable[[#This Row],[Stock Balance]]&lt;=0,"Sold Out",IF((InventoryTable[[#This Row],[Stock Balance]]/InventoryTable[[#This Row],[Total Pieces]])&lt;=0.25,"Low on Stocks","Available")))</f>
        <v/>
      </c>
    </row>
    <row r="365" spans="1:25" x14ac:dyDescent="0.3">
      <c r="A365" t="str">
        <f>IF(C365="","",_xlfn.CONCAT(LEFT(InventoryTable[[#This Row],[Category]],1),InventoryTable[[#This Row],[Product Pricing Type]],ROW()))</f>
        <v/>
      </c>
      <c r="H365" t="str">
        <f t="shared" si="57"/>
        <v/>
      </c>
      <c r="K365" t="str">
        <f t="shared" si="58"/>
        <v/>
      </c>
      <c r="N365" t="str">
        <f t="shared" si="59"/>
        <v/>
      </c>
      <c r="P365" t="str">
        <f t="shared" si="60"/>
        <v/>
      </c>
      <c r="Q365" s="4" t="str">
        <f t="shared" si="61"/>
        <v/>
      </c>
      <c r="R365" t="str">
        <f t="shared" si="62"/>
        <v/>
      </c>
      <c r="S365" t="str">
        <f t="shared" si="63"/>
        <v/>
      </c>
      <c r="T365" t="str">
        <f>IF(C365="","",InventoryTable[[#This Row],[Profit per Unit]]*InventoryTable[[#This Row],[Total Pieces]])</f>
        <v/>
      </c>
      <c r="U365" t="str">
        <f t="shared" si="54"/>
        <v/>
      </c>
      <c r="V365" t="str">
        <f>IF(C365="","",H365-InventoryTable[[#This Row],[Units Sold]])</f>
        <v/>
      </c>
      <c r="W365" t="str">
        <f t="shared" si="55"/>
        <v/>
      </c>
      <c r="X365" t="str">
        <f t="shared" si="56"/>
        <v/>
      </c>
      <c r="Y365" t="str">
        <f>IF(C365="","",IF(InventoryTable[[#This Row],[Stock Balance]]&lt;=0,"Sold Out",IF((InventoryTable[[#This Row],[Stock Balance]]/InventoryTable[[#This Row],[Total Pieces]])&lt;=0.25,"Low on Stocks","Available")))</f>
        <v/>
      </c>
    </row>
    <row r="366" spans="1:25" x14ac:dyDescent="0.3">
      <c r="A366" t="str">
        <f>IF(C366="","",_xlfn.CONCAT(LEFT(InventoryTable[[#This Row],[Category]],1),InventoryTable[[#This Row],[Product Pricing Type]],ROW()))</f>
        <v/>
      </c>
      <c r="H366" t="str">
        <f t="shared" si="57"/>
        <v/>
      </c>
      <c r="K366" t="str">
        <f t="shared" si="58"/>
        <v/>
      </c>
      <c r="N366" t="str">
        <f t="shared" si="59"/>
        <v/>
      </c>
      <c r="P366" t="str">
        <f t="shared" si="60"/>
        <v/>
      </c>
      <c r="Q366" s="4" t="str">
        <f t="shared" si="61"/>
        <v/>
      </c>
      <c r="R366" t="str">
        <f t="shared" si="62"/>
        <v/>
      </c>
      <c r="S366" t="str">
        <f t="shared" si="63"/>
        <v/>
      </c>
      <c r="T366" t="str">
        <f>IF(C366="","",InventoryTable[[#This Row],[Profit per Unit]]*InventoryTable[[#This Row],[Total Pieces]])</f>
        <v/>
      </c>
      <c r="U366" t="str">
        <f t="shared" si="54"/>
        <v/>
      </c>
      <c r="V366" t="str">
        <f>IF(C366="","",H366-InventoryTable[[#This Row],[Units Sold]])</f>
        <v/>
      </c>
      <c r="W366" t="str">
        <f t="shared" si="55"/>
        <v/>
      </c>
      <c r="X366" t="str">
        <f t="shared" si="56"/>
        <v/>
      </c>
      <c r="Y366" t="str">
        <f>IF(C366="","",IF(InventoryTable[[#This Row],[Stock Balance]]&lt;=0,"Sold Out",IF((InventoryTable[[#This Row],[Stock Balance]]/InventoryTable[[#This Row],[Total Pieces]])&lt;=0.25,"Low on Stocks","Available")))</f>
        <v/>
      </c>
    </row>
    <row r="367" spans="1:25" x14ac:dyDescent="0.3">
      <c r="A367" t="str">
        <f>IF(C367="","",_xlfn.CONCAT(LEFT(InventoryTable[[#This Row],[Category]],1),InventoryTable[[#This Row],[Product Pricing Type]],ROW()))</f>
        <v/>
      </c>
      <c r="H367" t="str">
        <f t="shared" si="57"/>
        <v/>
      </c>
      <c r="K367" t="str">
        <f t="shared" si="58"/>
        <v/>
      </c>
      <c r="N367" t="str">
        <f t="shared" si="59"/>
        <v/>
      </c>
      <c r="P367" t="str">
        <f t="shared" si="60"/>
        <v/>
      </c>
      <c r="Q367" s="4" t="str">
        <f t="shared" si="61"/>
        <v/>
      </c>
      <c r="R367" t="str">
        <f t="shared" si="62"/>
        <v/>
      </c>
      <c r="S367" t="str">
        <f t="shared" si="63"/>
        <v/>
      </c>
      <c r="T367" t="str">
        <f>IF(C367="","",InventoryTable[[#This Row],[Profit per Unit]]*InventoryTable[[#This Row],[Total Pieces]])</f>
        <v/>
      </c>
      <c r="U367" t="str">
        <f t="shared" si="54"/>
        <v/>
      </c>
      <c r="V367" t="str">
        <f>IF(C367="","",H367-InventoryTable[[#This Row],[Units Sold]])</f>
        <v/>
      </c>
      <c r="W367" t="str">
        <f t="shared" si="55"/>
        <v/>
      </c>
      <c r="X367" t="str">
        <f t="shared" si="56"/>
        <v/>
      </c>
      <c r="Y367" t="str">
        <f>IF(C367="","",IF(InventoryTable[[#This Row],[Stock Balance]]&lt;=0,"Sold Out",IF((InventoryTable[[#This Row],[Stock Balance]]/InventoryTable[[#This Row],[Total Pieces]])&lt;=0.25,"Low on Stocks","Available")))</f>
        <v/>
      </c>
    </row>
    <row r="368" spans="1:25" x14ac:dyDescent="0.3">
      <c r="A368" t="str">
        <f>IF(C368="","",_xlfn.CONCAT(LEFT(InventoryTable[[#This Row],[Category]],1),InventoryTable[[#This Row],[Product Pricing Type]],ROW()))</f>
        <v/>
      </c>
      <c r="H368" t="str">
        <f t="shared" si="57"/>
        <v/>
      </c>
      <c r="K368" t="str">
        <f t="shared" si="58"/>
        <v/>
      </c>
      <c r="N368" t="str">
        <f t="shared" si="59"/>
        <v/>
      </c>
      <c r="P368" t="str">
        <f t="shared" si="60"/>
        <v/>
      </c>
      <c r="Q368" s="4" t="str">
        <f t="shared" si="61"/>
        <v/>
      </c>
      <c r="R368" t="str">
        <f t="shared" si="62"/>
        <v/>
      </c>
      <c r="S368" t="str">
        <f t="shared" si="63"/>
        <v/>
      </c>
      <c r="T368" t="str">
        <f>IF(C368="","",InventoryTable[[#This Row],[Profit per Unit]]*InventoryTable[[#This Row],[Total Pieces]])</f>
        <v/>
      </c>
      <c r="U368" t="str">
        <f t="shared" si="54"/>
        <v/>
      </c>
      <c r="V368" t="str">
        <f>IF(C368="","",H368-InventoryTable[[#This Row],[Units Sold]])</f>
        <v/>
      </c>
      <c r="W368" t="str">
        <f t="shared" si="55"/>
        <v/>
      </c>
      <c r="X368" t="str">
        <f t="shared" si="56"/>
        <v/>
      </c>
      <c r="Y368" t="str">
        <f>IF(C368="","",IF(InventoryTable[[#This Row],[Stock Balance]]&lt;=0,"Sold Out",IF((InventoryTable[[#This Row],[Stock Balance]]/InventoryTable[[#This Row],[Total Pieces]])&lt;=0.25,"Low on Stocks","Available")))</f>
        <v/>
      </c>
    </row>
    <row r="369" spans="1:25" x14ac:dyDescent="0.3">
      <c r="A369" t="str">
        <f>IF(C369="","",_xlfn.CONCAT(LEFT(InventoryTable[[#This Row],[Category]],1),InventoryTable[[#This Row],[Product Pricing Type]],ROW()))</f>
        <v/>
      </c>
      <c r="H369" t="str">
        <f t="shared" si="57"/>
        <v/>
      </c>
      <c r="K369" t="str">
        <f t="shared" si="58"/>
        <v/>
      </c>
      <c r="N369" t="str">
        <f t="shared" si="59"/>
        <v/>
      </c>
      <c r="P369" t="str">
        <f t="shared" si="60"/>
        <v/>
      </c>
      <c r="Q369" s="4" t="str">
        <f t="shared" si="61"/>
        <v/>
      </c>
      <c r="R369" t="str">
        <f t="shared" si="62"/>
        <v/>
      </c>
      <c r="S369" t="str">
        <f t="shared" si="63"/>
        <v/>
      </c>
      <c r="T369" t="str">
        <f>IF(C369="","",InventoryTable[[#This Row],[Profit per Unit]]*InventoryTable[[#This Row],[Total Pieces]])</f>
        <v/>
      </c>
      <c r="U369" t="str">
        <f t="shared" si="54"/>
        <v/>
      </c>
      <c r="V369" t="str">
        <f>IF(C369="","",H369-InventoryTable[[#This Row],[Units Sold]])</f>
        <v/>
      </c>
      <c r="W369" t="str">
        <f t="shared" si="55"/>
        <v/>
      </c>
      <c r="X369" t="str">
        <f t="shared" si="56"/>
        <v/>
      </c>
      <c r="Y369" t="str">
        <f>IF(C369="","",IF(InventoryTable[[#This Row],[Stock Balance]]&lt;=0,"Sold Out",IF((InventoryTable[[#This Row],[Stock Balance]]/InventoryTable[[#This Row],[Total Pieces]])&lt;=0.25,"Low on Stocks","Available")))</f>
        <v/>
      </c>
    </row>
    <row r="370" spans="1:25" x14ac:dyDescent="0.3">
      <c r="A370" t="str">
        <f>IF(C370="","",_xlfn.CONCAT(LEFT(InventoryTable[[#This Row],[Category]],1),InventoryTable[[#This Row],[Product Pricing Type]],ROW()))</f>
        <v/>
      </c>
      <c r="H370" t="str">
        <f t="shared" si="57"/>
        <v/>
      </c>
      <c r="K370" t="str">
        <f t="shared" si="58"/>
        <v/>
      </c>
      <c r="N370" t="str">
        <f t="shared" si="59"/>
        <v/>
      </c>
      <c r="P370" t="str">
        <f t="shared" si="60"/>
        <v/>
      </c>
      <c r="Q370" s="4" t="str">
        <f t="shared" si="61"/>
        <v/>
      </c>
      <c r="R370" t="str">
        <f t="shared" si="62"/>
        <v/>
      </c>
      <c r="S370" t="str">
        <f t="shared" si="63"/>
        <v/>
      </c>
      <c r="T370" t="str">
        <f>IF(C370="","",InventoryTable[[#This Row],[Profit per Unit]]*InventoryTable[[#This Row],[Total Pieces]])</f>
        <v/>
      </c>
      <c r="U370" t="str">
        <f t="shared" si="54"/>
        <v/>
      </c>
      <c r="V370" t="str">
        <f>IF(C370="","",H370-InventoryTable[[#This Row],[Units Sold]])</f>
        <v/>
      </c>
      <c r="W370" t="str">
        <f t="shared" si="55"/>
        <v/>
      </c>
      <c r="X370" t="str">
        <f t="shared" si="56"/>
        <v/>
      </c>
      <c r="Y370" t="str">
        <f>IF(C370="","",IF(InventoryTable[[#This Row],[Stock Balance]]&lt;=0,"Sold Out",IF((InventoryTable[[#This Row],[Stock Balance]]/InventoryTable[[#This Row],[Total Pieces]])&lt;=0.25,"Low on Stocks","Available")))</f>
        <v/>
      </c>
    </row>
    <row r="371" spans="1:25" x14ac:dyDescent="0.3">
      <c r="A371" t="str">
        <f>IF(C371="","",_xlfn.CONCAT(LEFT(InventoryTable[[#This Row],[Category]],1),InventoryTable[[#This Row],[Product Pricing Type]],ROW()))</f>
        <v/>
      </c>
      <c r="H371" t="str">
        <f t="shared" si="57"/>
        <v/>
      </c>
      <c r="K371" t="str">
        <f t="shared" si="58"/>
        <v/>
      </c>
      <c r="N371" t="str">
        <f t="shared" si="59"/>
        <v/>
      </c>
      <c r="P371" t="str">
        <f t="shared" si="60"/>
        <v/>
      </c>
      <c r="Q371" s="4" t="str">
        <f t="shared" si="61"/>
        <v/>
      </c>
      <c r="R371" t="str">
        <f t="shared" si="62"/>
        <v/>
      </c>
      <c r="S371" t="str">
        <f t="shared" si="63"/>
        <v/>
      </c>
      <c r="T371" t="str">
        <f>IF(C371="","",InventoryTable[[#This Row],[Profit per Unit]]*InventoryTable[[#This Row],[Total Pieces]])</f>
        <v/>
      </c>
      <c r="U371" t="str">
        <f t="shared" si="54"/>
        <v/>
      </c>
      <c r="V371" t="str">
        <f>IF(C371="","",H371-InventoryTable[[#This Row],[Units Sold]])</f>
        <v/>
      </c>
      <c r="W371" t="str">
        <f t="shared" si="55"/>
        <v/>
      </c>
      <c r="X371" t="str">
        <f t="shared" si="56"/>
        <v/>
      </c>
      <c r="Y371" t="str">
        <f>IF(C371="","",IF(InventoryTable[[#This Row],[Stock Balance]]&lt;=0,"Sold Out",IF((InventoryTable[[#This Row],[Stock Balance]]/InventoryTable[[#This Row],[Total Pieces]])&lt;=0.25,"Low on Stocks","Available")))</f>
        <v/>
      </c>
    </row>
    <row r="372" spans="1:25" x14ac:dyDescent="0.3">
      <c r="A372" t="str">
        <f>IF(C372="","",_xlfn.CONCAT(LEFT(InventoryTable[[#This Row],[Category]],1),InventoryTable[[#This Row],[Product Pricing Type]],ROW()))</f>
        <v/>
      </c>
      <c r="H372" t="str">
        <f t="shared" si="57"/>
        <v/>
      </c>
      <c r="K372" t="str">
        <f t="shared" si="58"/>
        <v/>
      </c>
      <c r="N372" t="str">
        <f t="shared" si="59"/>
        <v/>
      </c>
      <c r="P372" t="str">
        <f t="shared" si="60"/>
        <v/>
      </c>
      <c r="Q372" s="4" t="str">
        <f t="shared" si="61"/>
        <v/>
      </c>
      <c r="R372" t="str">
        <f t="shared" si="62"/>
        <v/>
      </c>
      <c r="S372" t="str">
        <f t="shared" si="63"/>
        <v/>
      </c>
      <c r="T372" t="str">
        <f>IF(C372="","",InventoryTable[[#This Row],[Profit per Unit]]*InventoryTable[[#This Row],[Total Pieces]])</f>
        <v/>
      </c>
      <c r="U372" t="str">
        <f t="shared" si="54"/>
        <v/>
      </c>
      <c r="V372" t="str">
        <f>IF(C372="","",H372-InventoryTable[[#This Row],[Units Sold]])</f>
        <v/>
      </c>
      <c r="W372" t="str">
        <f t="shared" si="55"/>
        <v/>
      </c>
      <c r="X372" t="str">
        <f t="shared" si="56"/>
        <v/>
      </c>
      <c r="Y372" t="str">
        <f>IF(C372="","",IF(InventoryTable[[#This Row],[Stock Balance]]&lt;=0,"Sold Out",IF((InventoryTable[[#This Row],[Stock Balance]]/InventoryTable[[#This Row],[Total Pieces]])&lt;=0.25,"Low on Stocks","Available")))</f>
        <v/>
      </c>
    </row>
    <row r="373" spans="1:25" x14ac:dyDescent="0.3">
      <c r="A373" t="str">
        <f>IF(C373="","",_xlfn.CONCAT(LEFT(InventoryTable[[#This Row],[Category]],1),InventoryTable[[#This Row],[Product Pricing Type]],ROW()))</f>
        <v/>
      </c>
      <c r="H373" t="str">
        <f t="shared" si="57"/>
        <v/>
      </c>
      <c r="K373" t="str">
        <f t="shared" si="58"/>
        <v/>
      </c>
      <c r="N373" t="str">
        <f t="shared" si="59"/>
        <v/>
      </c>
      <c r="P373" t="str">
        <f t="shared" si="60"/>
        <v/>
      </c>
      <c r="Q373" s="4" t="str">
        <f t="shared" si="61"/>
        <v/>
      </c>
      <c r="R373" t="str">
        <f t="shared" si="62"/>
        <v/>
      </c>
      <c r="S373" t="str">
        <f t="shared" si="63"/>
        <v/>
      </c>
      <c r="T373" t="str">
        <f>IF(C373="","",InventoryTable[[#This Row],[Profit per Unit]]*InventoryTable[[#This Row],[Total Pieces]])</f>
        <v/>
      </c>
      <c r="U373" t="str">
        <f t="shared" si="54"/>
        <v/>
      </c>
      <c r="V373" t="str">
        <f>IF(C373="","",H373-InventoryTable[[#This Row],[Units Sold]])</f>
        <v/>
      </c>
      <c r="W373" t="str">
        <f t="shared" si="55"/>
        <v/>
      </c>
      <c r="X373" t="str">
        <f t="shared" si="56"/>
        <v/>
      </c>
      <c r="Y373" t="str">
        <f>IF(C373="","",IF(InventoryTable[[#This Row],[Stock Balance]]&lt;=0,"Sold Out",IF((InventoryTable[[#This Row],[Stock Balance]]/InventoryTable[[#This Row],[Total Pieces]])&lt;=0.25,"Low on Stocks","Available")))</f>
        <v/>
      </c>
    </row>
    <row r="374" spans="1:25" x14ac:dyDescent="0.3">
      <c r="A374" t="str">
        <f>IF(C374="","",_xlfn.CONCAT(LEFT(InventoryTable[[#This Row],[Category]],1),InventoryTable[[#This Row],[Product Pricing Type]],ROW()))</f>
        <v/>
      </c>
      <c r="H374" t="str">
        <f t="shared" si="57"/>
        <v/>
      </c>
      <c r="K374" t="str">
        <f t="shared" si="58"/>
        <v/>
      </c>
      <c r="N374" t="str">
        <f t="shared" si="59"/>
        <v/>
      </c>
      <c r="P374" t="str">
        <f t="shared" si="60"/>
        <v/>
      </c>
      <c r="Q374" s="4" t="str">
        <f t="shared" si="61"/>
        <v/>
      </c>
      <c r="R374" t="str">
        <f t="shared" si="62"/>
        <v/>
      </c>
      <c r="S374" t="str">
        <f t="shared" si="63"/>
        <v/>
      </c>
      <c r="T374" t="str">
        <f>IF(C374="","",InventoryTable[[#This Row],[Profit per Unit]]*InventoryTable[[#This Row],[Total Pieces]])</f>
        <v/>
      </c>
      <c r="U374" t="str">
        <f t="shared" si="54"/>
        <v/>
      </c>
      <c r="V374" t="str">
        <f>IF(C374="","",H374-InventoryTable[[#This Row],[Units Sold]])</f>
        <v/>
      </c>
      <c r="W374" t="str">
        <f t="shared" si="55"/>
        <v/>
      </c>
      <c r="X374" t="str">
        <f t="shared" si="56"/>
        <v/>
      </c>
      <c r="Y374" t="str">
        <f>IF(C374="","",IF(InventoryTable[[#This Row],[Stock Balance]]&lt;=0,"Sold Out",IF((InventoryTable[[#This Row],[Stock Balance]]/InventoryTable[[#This Row],[Total Pieces]])&lt;=0.25,"Low on Stocks","Available")))</f>
        <v/>
      </c>
    </row>
    <row r="375" spans="1:25" x14ac:dyDescent="0.3">
      <c r="A375" t="str">
        <f>IF(C375="","",_xlfn.CONCAT(LEFT(InventoryTable[[#This Row],[Category]],1),InventoryTable[[#This Row],[Product Pricing Type]],ROW()))</f>
        <v/>
      </c>
      <c r="H375" t="str">
        <f t="shared" si="57"/>
        <v/>
      </c>
      <c r="K375" t="str">
        <f t="shared" si="58"/>
        <v/>
      </c>
      <c r="N375" t="str">
        <f t="shared" si="59"/>
        <v/>
      </c>
      <c r="P375" t="str">
        <f t="shared" si="60"/>
        <v/>
      </c>
      <c r="Q375" s="4" t="str">
        <f t="shared" si="61"/>
        <v/>
      </c>
      <c r="R375" t="str">
        <f t="shared" si="62"/>
        <v/>
      </c>
      <c r="S375" t="str">
        <f t="shared" si="63"/>
        <v/>
      </c>
      <c r="T375" t="str">
        <f>IF(C375="","",InventoryTable[[#This Row],[Profit per Unit]]*InventoryTable[[#This Row],[Total Pieces]])</f>
        <v/>
      </c>
      <c r="U375" t="str">
        <f t="shared" si="54"/>
        <v/>
      </c>
      <c r="V375" t="str">
        <f>IF(C375="","",H375-InventoryTable[[#This Row],[Units Sold]])</f>
        <v/>
      </c>
      <c r="W375" t="str">
        <f t="shared" si="55"/>
        <v/>
      </c>
      <c r="X375" t="str">
        <f t="shared" si="56"/>
        <v/>
      </c>
      <c r="Y375" t="str">
        <f>IF(C375="","",IF(InventoryTable[[#This Row],[Stock Balance]]&lt;=0,"Sold Out",IF((InventoryTable[[#This Row],[Stock Balance]]/InventoryTable[[#This Row],[Total Pieces]])&lt;=0.25,"Low on Stocks","Available")))</f>
        <v/>
      </c>
    </row>
    <row r="376" spans="1:25" x14ac:dyDescent="0.3">
      <c r="A376" t="str">
        <f>IF(C376="","",_xlfn.CONCAT(LEFT(InventoryTable[[#This Row],[Category]],1),InventoryTable[[#This Row],[Product Pricing Type]],ROW()))</f>
        <v/>
      </c>
      <c r="H376" t="str">
        <f t="shared" si="57"/>
        <v/>
      </c>
      <c r="K376" t="str">
        <f t="shared" si="58"/>
        <v/>
      </c>
      <c r="N376" t="str">
        <f t="shared" si="59"/>
        <v/>
      </c>
      <c r="P376" t="str">
        <f t="shared" si="60"/>
        <v/>
      </c>
      <c r="Q376" s="4" t="str">
        <f t="shared" si="61"/>
        <v/>
      </c>
      <c r="R376" t="str">
        <f t="shared" si="62"/>
        <v/>
      </c>
      <c r="S376" t="str">
        <f t="shared" si="63"/>
        <v/>
      </c>
      <c r="T376" t="str">
        <f>IF(C376="","",InventoryTable[[#This Row],[Profit per Unit]]*InventoryTable[[#This Row],[Total Pieces]])</f>
        <v/>
      </c>
      <c r="U376" t="str">
        <f t="shared" si="54"/>
        <v/>
      </c>
      <c r="V376" t="str">
        <f>IF(C376="","",H376-InventoryTable[[#This Row],[Units Sold]])</f>
        <v/>
      </c>
      <c r="W376" t="str">
        <f t="shared" si="55"/>
        <v/>
      </c>
      <c r="X376" t="str">
        <f t="shared" si="56"/>
        <v/>
      </c>
      <c r="Y376" t="str">
        <f>IF(C376="","",IF(InventoryTable[[#This Row],[Stock Balance]]&lt;=0,"Sold Out",IF((InventoryTable[[#This Row],[Stock Balance]]/InventoryTable[[#This Row],[Total Pieces]])&lt;=0.25,"Low on Stocks","Available")))</f>
        <v/>
      </c>
    </row>
    <row r="377" spans="1:25" x14ac:dyDescent="0.3">
      <c r="A377" t="str">
        <f>IF(C377="","",_xlfn.CONCAT(LEFT(InventoryTable[[#This Row],[Category]],1),InventoryTable[[#This Row],[Product Pricing Type]],ROW()))</f>
        <v/>
      </c>
      <c r="H377" t="str">
        <f t="shared" si="57"/>
        <v/>
      </c>
      <c r="K377" t="str">
        <f t="shared" si="58"/>
        <v/>
      </c>
      <c r="N377" t="str">
        <f t="shared" si="59"/>
        <v/>
      </c>
      <c r="P377" t="str">
        <f t="shared" si="60"/>
        <v/>
      </c>
      <c r="Q377" s="4" t="str">
        <f t="shared" si="61"/>
        <v/>
      </c>
      <c r="R377" t="str">
        <f t="shared" si="62"/>
        <v/>
      </c>
      <c r="S377" t="str">
        <f t="shared" si="63"/>
        <v/>
      </c>
      <c r="T377" t="str">
        <f>IF(C377="","",InventoryTable[[#This Row],[Profit per Unit]]*InventoryTable[[#This Row],[Total Pieces]])</f>
        <v/>
      </c>
      <c r="U377" t="str">
        <f t="shared" si="54"/>
        <v/>
      </c>
      <c r="V377" t="str">
        <f>IF(C377="","",H377-InventoryTable[[#This Row],[Units Sold]])</f>
        <v/>
      </c>
      <c r="W377" t="str">
        <f t="shared" si="55"/>
        <v/>
      </c>
      <c r="X377" t="str">
        <f t="shared" si="56"/>
        <v/>
      </c>
      <c r="Y377" t="str">
        <f>IF(C377="","",IF(InventoryTable[[#This Row],[Stock Balance]]&lt;=0,"Sold Out",IF((InventoryTable[[#This Row],[Stock Balance]]/InventoryTable[[#This Row],[Total Pieces]])&lt;=0.25,"Low on Stocks","Available")))</f>
        <v/>
      </c>
    </row>
    <row r="378" spans="1:25" x14ac:dyDescent="0.3">
      <c r="A378" t="str">
        <f>IF(C378="","",_xlfn.CONCAT(LEFT(InventoryTable[[#This Row],[Category]],1),InventoryTable[[#This Row],[Product Pricing Type]],ROW()))</f>
        <v/>
      </c>
      <c r="H378" t="str">
        <f t="shared" si="57"/>
        <v/>
      </c>
      <c r="K378" t="str">
        <f t="shared" si="58"/>
        <v/>
      </c>
      <c r="N378" t="str">
        <f t="shared" si="59"/>
        <v/>
      </c>
      <c r="P378" t="str">
        <f t="shared" si="60"/>
        <v/>
      </c>
      <c r="Q378" s="4" t="str">
        <f t="shared" si="61"/>
        <v/>
      </c>
      <c r="R378" t="str">
        <f t="shared" si="62"/>
        <v/>
      </c>
      <c r="S378" t="str">
        <f t="shared" si="63"/>
        <v/>
      </c>
      <c r="T378" t="str">
        <f>IF(C378="","",InventoryTable[[#This Row],[Profit per Unit]]*InventoryTable[[#This Row],[Total Pieces]])</f>
        <v/>
      </c>
      <c r="U378" t="str">
        <f t="shared" si="54"/>
        <v/>
      </c>
      <c r="V378" t="str">
        <f>IF(C378="","",H378-InventoryTable[[#This Row],[Units Sold]])</f>
        <v/>
      </c>
      <c r="W378" t="str">
        <f t="shared" si="55"/>
        <v/>
      </c>
      <c r="X378" t="str">
        <f t="shared" si="56"/>
        <v/>
      </c>
      <c r="Y378" t="str">
        <f>IF(C378="","",IF(InventoryTable[[#This Row],[Stock Balance]]&lt;=0,"Sold Out",IF((InventoryTable[[#This Row],[Stock Balance]]/InventoryTable[[#This Row],[Total Pieces]])&lt;=0.25,"Low on Stocks","Available")))</f>
        <v/>
      </c>
    </row>
    <row r="379" spans="1:25" x14ac:dyDescent="0.3">
      <c r="A379" t="str">
        <f>IF(C379="","",_xlfn.CONCAT(LEFT(InventoryTable[[#This Row],[Category]],1),InventoryTable[[#This Row],[Product Pricing Type]],ROW()))</f>
        <v/>
      </c>
      <c r="H379" t="str">
        <f t="shared" si="57"/>
        <v/>
      </c>
      <c r="K379" t="str">
        <f t="shared" si="58"/>
        <v/>
      </c>
      <c r="N379" t="str">
        <f t="shared" si="59"/>
        <v/>
      </c>
      <c r="P379" t="str">
        <f t="shared" si="60"/>
        <v/>
      </c>
      <c r="Q379" s="4" t="str">
        <f t="shared" si="61"/>
        <v/>
      </c>
      <c r="R379" t="str">
        <f t="shared" si="62"/>
        <v/>
      </c>
      <c r="S379" t="str">
        <f t="shared" si="63"/>
        <v/>
      </c>
      <c r="T379" t="str">
        <f>IF(C379="","",InventoryTable[[#This Row],[Profit per Unit]]*InventoryTable[[#This Row],[Total Pieces]])</f>
        <v/>
      </c>
      <c r="U379" t="str">
        <f t="shared" si="54"/>
        <v/>
      </c>
      <c r="V379" t="str">
        <f>IF(C379="","",H379-InventoryTable[[#This Row],[Units Sold]])</f>
        <v/>
      </c>
      <c r="W379" t="str">
        <f t="shared" si="55"/>
        <v/>
      </c>
      <c r="X379" t="str">
        <f t="shared" si="56"/>
        <v/>
      </c>
      <c r="Y379" t="str">
        <f>IF(C379="","",IF(InventoryTable[[#This Row],[Stock Balance]]&lt;=0,"Sold Out",IF((InventoryTable[[#This Row],[Stock Balance]]/InventoryTable[[#This Row],[Total Pieces]])&lt;=0.25,"Low on Stocks","Available")))</f>
        <v/>
      </c>
    </row>
    <row r="380" spans="1:25" x14ac:dyDescent="0.3">
      <c r="A380" t="str">
        <f>IF(C380="","",_xlfn.CONCAT(LEFT(InventoryTable[[#This Row],[Category]],1),InventoryTable[[#This Row],[Product Pricing Type]],ROW()))</f>
        <v/>
      </c>
      <c r="H380" t="str">
        <f t="shared" si="57"/>
        <v/>
      </c>
      <c r="K380" t="str">
        <f t="shared" si="58"/>
        <v/>
      </c>
      <c r="N380" t="str">
        <f t="shared" si="59"/>
        <v/>
      </c>
      <c r="P380" t="str">
        <f t="shared" si="60"/>
        <v/>
      </c>
      <c r="Q380" s="4" t="str">
        <f t="shared" si="61"/>
        <v/>
      </c>
      <c r="R380" t="str">
        <f t="shared" si="62"/>
        <v/>
      </c>
      <c r="S380" t="str">
        <f t="shared" si="63"/>
        <v/>
      </c>
      <c r="T380" t="str">
        <f>IF(C380="","",InventoryTable[[#This Row],[Profit per Unit]]*InventoryTable[[#This Row],[Total Pieces]])</f>
        <v/>
      </c>
      <c r="U380" t="str">
        <f t="shared" si="54"/>
        <v/>
      </c>
      <c r="V380" t="str">
        <f>IF(C380="","",H380-InventoryTable[[#This Row],[Units Sold]])</f>
        <v/>
      </c>
      <c r="W380" t="str">
        <f t="shared" si="55"/>
        <v/>
      </c>
      <c r="X380" t="str">
        <f t="shared" si="56"/>
        <v/>
      </c>
      <c r="Y380" t="str">
        <f>IF(C380="","",IF(InventoryTable[[#This Row],[Stock Balance]]&lt;=0,"Sold Out",IF((InventoryTable[[#This Row],[Stock Balance]]/InventoryTable[[#This Row],[Total Pieces]])&lt;=0.25,"Low on Stocks","Available")))</f>
        <v/>
      </c>
    </row>
    <row r="381" spans="1:25" x14ac:dyDescent="0.3">
      <c r="A381" t="str">
        <f>IF(C381="","",_xlfn.CONCAT(LEFT(InventoryTable[[#This Row],[Category]],1),InventoryTable[[#This Row],[Product Pricing Type]],ROW()))</f>
        <v/>
      </c>
      <c r="H381" t="str">
        <f t="shared" si="57"/>
        <v/>
      </c>
      <c r="K381" t="str">
        <f t="shared" si="58"/>
        <v/>
      </c>
      <c r="N381" t="str">
        <f t="shared" si="59"/>
        <v/>
      </c>
      <c r="P381" t="str">
        <f t="shared" si="60"/>
        <v/>
      </c>
      <c r="Q381" s="4" t="str">
        <f t="shared" si="61"/>
        <v/>
      </c>
      <c r="R381" t="str">
        <f t="shared" si="62"/>
        <v/>
      </c>
      <c r="S381" t="str">
        <f t="shared" si="63"/>
        <v/>
      </c>
      <c r="T381" t="str">
        <f>IF(C381="","",InventoryTable[[#This Row],[Profit per Unit]]*InventoryTable[[#This Row],[Total Pieces]])</f>
        <v/>
      </c>
      <c r="U381" t="str">
        <f t="shared" ref="U381:U444" si="64">IF(C381="","",0)</f>
        <v/>
      </c>
      <c r="V381" t="str">
        <f>IF(C381="","",H381-InventoryTable[[#This Row],[Units Sold]])</f>
        <v/>
      </c>
      <c r="W381" t="str">
        <f t="shared" ref="W381:W444" si="65">IF(C381="","",Q381*U381)</f>
        <v/>
      </c>
      <c r="X381" t="str">
        <f t="shared" ref="X381:X444" si="66">IF(C381="","",S381*U381)</f>
        <v/>
      </c>
      <c r="Y381" t="str">
        <f>IF(C381="","",IF(InventoryTable[[#This Row],[Stock Balance]]&lt;=0,"Sold Out",IF((InventoryTable[[#This Row],[Stock Balance]]/InventoryTable[[#This Row],[Total Pieces]])&lt;=0.25,"Low on Stocks","Available")))</f>
        <v/>
      </c>
    </row>
    <row r="382" spans="1:25" x14ac:dyDescent="0.3">
      <c r="A382" t="str">
        <f>IF(C382="","",_xlfn.CONCAT(LEFT(InventoryTable[[#This Row],[Category]],1),InventoryTable[[#This Row],[Product Pricing Type]],ROW()))</f>
        <v/>
      </c>
      <c r="H382" t="str">
        <f t="shared" si="57"/>
        <v/>
      </c>
      <c r="K382" t="str">
        <f t="shared" si="58"/>
        <v/>
      </c>
      <c r="N382" t="str">
        <f t="shared" si="59"/>
        <v/>
      </c>
      <c r="P382" t="str">
        <f t="shared" si="60"/>
        <v/>
      </c>
      <c r="Q382" s="4" t="str">
        <f t="shared" si="61"/>
        <v/>
      </c>
      <c r="R382" t="str">
        <f t="shared" si="62"/>
        <v/>
      </c>
      <c r="S382" t="str">
        <f t="shared" si="63"/>
        <v/>
      </c>
      <c r="T382" t="str">
        <f>IF(C382="","",InventoryTable[[#This Row],[Profit per Unit]]*InventoryTable[[#This Row],[Total Pieces]])</f>
        <v/>
      </c>
      <c r="U382" t="str">
        <f t="shared" si="64"/>
        <v/>
      </c>
      <c r="V382" t="str">
        <f>IF(C382="","",H382-InventoryTable[[#This Row],[Units Sold]])</f>
        <v/>
      </c>
      <c r="W382" t="str">
        <f t="shared" si="65"/>
        <v/>
      </c>
      <c r="X382" t="str">
        <f t="shared" si="66"/>
        <v/>
      </c>
      <c r="Y382" t="str">
        <f>IF(C382="","",IF(InventoryTable[[#This Row],[Stock Balance]]&lt;=0,"Sold Out",IF((InventoryTable[[#This Row],[Stock Balance]]/InventoryTable[[#This Row],[Total Pieces]])&lt;=0.25,"Low on Stocks","Available")))</f>
        <v/>
      </c>
    </row>
    <row r="383" spans="1:25" x14ac:dyDescent="0.3">
      <c r="A383" t="str">
        <f>IF(C383="","",_xlfn.CONCAT(LEFT(InventoryTable[[#This Row],[Category]],1),InventoryTable[[#This Row],[Product Pricing Type]],ROW()))</f>
        <v/>
      </c>
      <c r="H383" t="str">
        <f t="shared" si="57"/>
        <v/>
      </c>
      <c r="K383" t="str">
        <f t="shared" si="58"/>
        <v/>
      </c>
      <c r="N383" t="str">
        <f t="shared" si="59"/>
        <v/>
      </c>
      <c r="P383" t="str">
        <f t="shared" si="60"/>
        <v/>
      </c>
      <c r="Q383" s="4" t="str">
        <f t="shared" si="61"/>
        <v/>
      </c>
      <c r="R383" t="str">
        <f t="shared" si="62"/>
        <v/>
      </c>
      <c r="S383" t="str">
        <f t="shared" si="63"/>
        <v/>
      </c>
      <c r="T383" t="str">
        <f>IF(C383="","",InventoryTable[[#This Row],[Profit per Unit]]*InventoryTable[[#This Row],[Total Pieces]])</f>
        <v/>
      </c>
      <c r="U383" t="str">
        <f t="shared" si="64"/>
        <v/>
      </c>
      <c r="V383" t="str">
        <f>IF(C383="","",H383-InventoryTable[[#This Row],[Units Sold]])</f>
        <v/>
      </c>
      <c r="W383" t="str">
        <f t="shared" si="65"/>
        <v/>
      </c>
      <c r="X383" t="str">
        <f t="shared" si="66"/>
        <v/>
      </c>
      <c r="Y383" t="str">
        <f>IF(C383="","",IF(InventoryTable[[#This Row],[Stock Balance]]&lt;=0,"Sold Out",IF((InventoryTable[[#This Row],[Stock Balance]]/InventoryTable[[#This Row],[Total Pieces]])&lt;=0.25,"Low on Stocks","Available")))</f>
        <v/>
      </c>
    </row>
    <row r="384" spans="1:25" x14ac:dyDescent="0.3">
      <c r="A384" t="str">
        <f>IF(C384="","",_xlfn.CONCAT(LEFT(InventoryTable[[#This Row],[Category]],1),InventoryTable[[#This Row],[Product Pricing Type]],ROW()))</f>
        <v/>
      </c>
      <c r="H384" t="str">
        <f t="shared" si="57"/>
        <v/>
      </c>
      <c r="K384" t="str">
        <f t="shared" si="58"/>
        <v/>
      </c>
      <c r="N384" t="str">
        <f t="shared" si="59"/>
        <v/>
      </c>
      <c r="P384" t="str">
        <f t="shared" si="60"/>
        <v/>
      </c>
      <c r="Q384" s="4" t="str">
        <f t="shared" si="61"/>
        <v/>
      </c>
      <c r="R384" t="str">
        <f t="shared" si="62"/>
        <v/>
      </c>
      <c r="S384" t="str">
        <f t="shared" si="63"/>
        <v/>
      </c>
      <c r="T384" t="str">
        <f>IF(C384="","",InventoryTable[[#This Row],[Profit per Unit]]*InventoryTable[[#This Row],[Total Pieces]])</f>
        <v/>
      </c>
      <c r="U384" t="str">
        <f t="shared" si="64"/>
        <v/>
      </c>
      <c r="V384" t="str">
        <f>IF(C384="","",H384-InventoryTable[[#This Row],[Units Sold]])</f>
        <v/>
      </c>
      <c r="W384" t="str">
        <f t="shared" si="65"/>
        <v/>
      </c>
      <c r="X384" t="str">
        <f t="shared" si="66"/>
        <v/>
      </c>
      <c r="Y384" t="str">
        <f>IF(C384="","",IF(InventoryTable[[#This Row],[Stock Balance]]&lt;=0,"Sold Out",IF((InventoryTable[[#This Row],[Stock Balance]]/InventoryTable[[#This Row],[Total Pieces]])&lt;=0.25,"Low on Stocks","Available")))</f>
        <v/>
      </c>
    </row>
    <row r="385" spans="1:25" x14ac:dyDescent="0.3">
      <c r="A385" t="str">
        <f>IF(C385="","",_xlfn.CONCAT(LEFT(InventoryTable[[#This Row],[Category]],1),InventoryTable[[#This Row],[Product Pricing Type]],ROW()))</f>
        <v/>
      </c>
      <c r="H385" t="str">
        <f t="shared" si="57"/>
        <v/>
      </c>
      <c r="K385" t="str">
        <f t="shared" si="58"/>
        <v/>
      </c>
      <c r="N385" t="str">
        <f t="shared" si="59"/>
        <v/>
      </c>
      <c r="P385" t="str">
        <f t="shared" si="60"/>
        <v/>
      </c>
      <c r="Q385" s="4" t="str">
        <f t="shared" si="61"/>
        <v/>
      </c>
      <c r="R385" t="str">
        <f t="shared" si="62"/>
        <v/>
      </c>
      <c r="S385" t="str">
        <f t="shared" si="63"/>
        <v/>
      </c>
      <c r="T385" t="str">
        <f>IF(C385="","",InventoryTable[[#This Row],[Profit per Unit]]*InventoryTable[[#This Row],[Total Pieces]])</f>
        <v/>
      </c>
      <c r="U385" t="str">
        <f t="shared" si="64"/>
        <v/>
      </c>
      <c r="V385" t="str">
        <f>IF(C385="","",H385-InventoryTable[[#This Row],[Units Sold]])</f>
        <v/>
      </c>
      <c r="W385" t="str">
        <f t="shared" si="65"/>
        <v/>
      </c>
      <c r="X385" t="str">
        <f t="shared" si="66"/>
        <v/>
      </c>
      <c r="Y385" t="str">
        <f>IF(C385="","",IF(InventoryTable[[#This Row],[Stock Balance]]&lt;=0,"Sold Out",IF((InventoryTable[[#This Row],[Stock Balance]]/InventoryTable[[#This Row],[Total Pieces]])&lt;=0.25,"Low on Stocks","Available")))</f>
        <v/>
      </c>
    </row>
    <row r="386" spans="1:25" x14ac:dyDescent="0.3">
      <c r="A386" t="str">
        <f>IF(C386="","",_xlfn.CONCAT(LEFT(InventoryTable[[#This Row],[Category]],1),InventoryTable[[#This Row],[Product Pricing Type]],ROW()))</f>
        <v/>
      </c>
      <c r="H386" t="str">
        <f t="shared" si="57"/>
        <v/>
      </c>
      <c r="K386" t="str">
        <f t="shared" si="58"/>
        <v/>
      </c>
      <c r="N386" t="str">
        <f t="shared" si="59"/>
        <v/>
      </c>
      <c r="P386" t="str">
        <f t="shared" si="60"/>
        <v/>
      </c>
      <c r="Q386" s="4" t="str">
        <f t="shared" si="61"/>
        <v/>
      </c>
      <c r="R386" t="str">
        <f t="shared" si="62"/>
        <v/>
      </c>
      <c r="S386" t="str">
        <f t="shared" si="63"/>
        <v/>
      </c>
      <c r="T386" t="str">
        <f>IF(C386="","",InventoryTable[[#This Row],[Profit per Unit]]*InventoryTable[[#This Row],[Total Pieces]])</f>
        <v/>
      </c>
      <c r="U386" t="str">
        <f t="shared" si="64"/>
        <v/>
      </c>
      <c r="V386" t="str">
        <f>IF(C386="","",H386-InventoryTable[[#This Row],[Units Sold]])</f>
        <v/>
      </c>
      <c r="W386" t="str">
        <f t="shared" si="65"/>
        <v/>
      </c>
      <c r="X386" t="str">
        <f t="shared" si="66"/>
        <v/>
      </c>
      <c r="Y386" t="str">
        <f>IF(C386="","",IF(InventoryTable[[#This Row],[Stock Balance]]&lt;=0,"Sold Out",IF((InventoryTable[[#This Row],[Stock Balance]]/InventoryTable[[#This Row],[Total Pieces]])&lt;=0.25,"Low on Stocks","Available")))</f>
        <v/>
      </c>
    </row>
    <row r="387" spans="1:25" x14ac:dyDescent="0.3">
      <c r="A387" t="str">
        <f>IF(C387="","",_xlfn.CONCAT(LEFT(InventoryTable[[#This Row],[Category]],1),InventoryTable[[#This Row],[Product Pricing Type]],ROW()))</f>
        <v/>
      </c>
      <c r="H387" t="str">
        <f t="shared" si="57"/>
        <v/>
      </c>
      <c r="K387" t="str">
        <f t="shared" si="58"/>
        <v/>
      </c>
      <c r="N387" t="str">
        <f t="shared" si="59"/>
        <v/>
      </c>
      <c r="P387" t="str">
        <f t="shared" si="60"/>
        <v/>
      </c>
      <c r="Q387" s="4" t="str">
        <f t="shared" si="61"/>
        <v/>
      </c>
      <c r="R387" t="str">
        <f t="shared" si="62"/>
        <v/>
      </c>
      <c r="S387" t="str">
        <f t="shared" si="63"/>
        <v/>
      </c>
      <c r="T387" t="str">
        <f>IF(C387="","",InventoryTable[[#This Row],[Profit per Unit]]*InventoryTable[[#This Row],[Total Pieces]])</f>
        <v/>
      </c>
      <c r="U387" t="str">
        <f t="shared" si="64"/>
        <v/>
      </c>
      <c r="V387" t="str">
        <f>IF(C387="","",H387-InventoryTable[[#This Row],[Units Sold]])</f>
        <v/>
      </c>
      <c r="W387" t="str">
        <f t="shared" si="65"/>
        <v/>
      </c>
      <c r="X387" t="str">
        <f t="shared" si="66"/>
        <v/>
      </c>
      <c r="Y387" t="str">
        <f>IF(C387="","",IF(InventoryTable[[#This Row],[Stock Balance]]&lt;=0,"Sold Out",IF((InventoryTable[[#This Row],[Stock Balance]]/InventoryTable[[#This Row],[Total Pieces]])&lt;=0.25,"Low on Stocks","Available")))</f>
        <v/>
      </c>
    </row>
    <row r="388" spans="1:25" x14ac:dyDescent="0.3">
      <c r="A388" t="str">
        <f>IF(C388="","",_xlfn.CONCAT(LEFT(InventoryTable[[#This Row],[Category]],1),InventoryTable[[#This Row],[Product Pricing Type]],ROW()))</f>
        <v/>
      </c>
      <c r="H388" t="str">
        <f t="shared" si="57"/>
        <v/>
      </c>
      <c r="K388" t="str">
        <f t="shared" si="58"/>
        <v/>
      </c>
      <c r="N388" t="str">
        <f t="shared" si="59"/>
        <v/>
      </c>
      <c r="P388" t="str">
        <f t="shared" si="60"/>
        <v/>
      </c>
      <c r="Q388" s="4" t="str">
        <f t="shared" si="61"/>
        <v/>
      </c>
      <c r="R388" t="str">
        <f t="shared" si="62"/>
        <v/>
      </c>
      <c r="S388" t="str">
        <f t="shared" si="63"/>
        <v/>
      </c>
      <c r="T388" t="str">
        <f>IF(C388="","",InventoryTable[[#This Row],[Profit per Unit]]*InventoryTable[[#This Row],[Total Pieces]])</f>
        <v/>
      </c>
      <c r="U388" t="str">
        <f t="shared" si="64"/>
        <v/>
      </c>
      <c r="V388" t="str">
        <f>IF(C388="","",H388-InventoryTable[[#This Row],[Units Sold]])</f>
        <v/>
      </c>
      <c r="W388" t="str">
        <f t="shared" si="65"/>
        <v/>
      </c>
      <c r="X388" t="str">
        <f t="shared" si="66"/>
        <v/>
      </c>
      <c r="Y388" t="str">
        <f>IF(C388="","",IF(InventoryTable[[#This Row],[Stock Balance]]&lt;=0,"Sold Out",IF((InventoryTable[[#This Row],[Stock Balance]]/InventoryTable[[#This Row],[Total Pieces]])&lt;=0.25,"Low on Stocks","Available")))</f>
        <v/>
      </c>
    </row>
    <row r="389" spans="1:25" x14ac:dyDescent="0.3">
      <c r="A389" t="str">
        <f>IF(C389="","",_xlfn.CONCAT(LEFT(InventoryTable[[#This Row],[Category]],1),InventoryTable[[#This Row],[Product Pricing Type]],ROW()))</f>
        <v/>
      </c>
      <c r="H389" t="str">
        <f t="shared" si="57"/>
        <v/>
      </c>
      <c r="K389" t="str">
        <f t="shared" si="58"/>
        <v/>
      </c>
      <c r="N389" t="str">
        <f t="shared" si="59"/>
        <v/>
      </c>
      <c r="P389" t="str">
        <f t="shared" si="60"/>
        <v/>
      </c>
      <c r="Q389" s="4" t="str">
        <f t="shared" si="61"/>
        <v/>
      </c>
      <c r="R389" t="str">
        <f t="shared" si="62"/>
        <v/>
      </c>
      <c r="S389" t="str">
        <f t="shared" si="63"/>
        <v/>
      </c>
      <c r="T389" t="str">
        <f>IF(C389="","",InventoryTable[[#This Row],[Profit per Unit]]*InventoryTable[[#This Row],[Total Pieces]])</f>
        <v/>
      </c>
      <c r="U389" t="str">
        <f t="shared" si="64"/>
        <v/>
      </c>
      <c r="V389" t="str">
        <f>IF(C389="","",H389-InventoryTable[[#This Row],[Units Sold]])</f>
        <v/>
      </c>
      <c r="W389" t="str">
        <f t="shared" si="65"/>
        <v/>
      </c>
      <c r="X389" t="str">
        <f t="shared" si="66"/>
        <v/>
      </c>
      <c r="Y389" t="str">
        <f>IF(C389="","",IF(InventoryTable[[#This Row],[Stock Balance]]&lt;=0,"Sold Out",IF((InventoryTable[[#This Row],[Stock Balance]]/InventoryTable[[#This Row],[Total Pieces]])&lt;=0.25,"Low on Stocks","Available")))</f>
        <v/>
      </c>
    </row>
    <row r="390" spans="1:25" x14ac:dyDescent="0.3">
      <c r="A390" t="str">
        <f>IF(C390="","",_xlfn.CONCAT(LEFT(InventoryTable[[#This Row],[Category]],1),InventoryTable[[#This Row],[Product Pricing Type]],ROW()))</f>
        <v/>
      </c>
      <c r="H390" t="str">
        <f t="shared" si="57"/>
        <v/>
      </c>
      <c r="K390" t="str">
        <f t="shared" si="58"/>
        <v/>
      </c>
      <c r="N390" t="str">
        <f t="shared" si="59"/>
        <v/>
      </c>
      <c r="P390" t="str">
        <f t="shared" si="60"/>
        <v/>
      </c>
      <c r="Q390" s="4" t="str">
        <f t="shared" si="61"/>
        <v/>
      </c>
      <c r="R390" t="str">
        <f t="shared" si="62"/>
        <v/>
      </c>
      <c r="S390" t="str">
        <f t="shared" si="63"/>
        <v/>
      </c>
      <c r="T390" t="str">
        <f>IF(C390="","",InventoryTable[[#This Row],[Profit per Unit]]*InventoryTable[[#This Row],[Total Pieces]])</f>
        <v/>
      </c>
      <c r="U390" t="str">
        <f t="shared" si="64"/>
        <v/>
      </c>
      <c r="V390" t="str">
        <f>IF(C390="","",H390-InventoryTable[[#This Row],[Units Sold]])</f>
        <v/>
      </c>
      <c r="W390" t="str">
        <f t="shared" si="65"/>
        <v/>
      </c>
      <c r="X390" t="str">
        <f t="shared" si="66"/>
        <v/>
      </c>
      <c r="Y390" t="str">
        <f>IF(C390="","",IF(InventoryTable[[#This Row],[Stock Balance]]&lt;=0,"Sold Out",IF((InventoryTable[[#This Row],[Stock Balance]]/InventoryTable[[#This Row],[Total Pieces]])&lt;=0.25,"Low on Stocks","Available")))</f>
        <v/>
      </c>
    </row>
    <row r="391" spans="1:25" x14ac:dyDescent="0.3">
      <c r="A391" t="str">
        <f>IF(C391="","",_xlfn.CONCAT(LEFT(InventoryTable[[#This Row],[Category]],1),InventoryTable[[#This Row],[Product Pricing Type]],ROW()))</f>
        <v/>
      </c>
      <c r="H391" t="str">
        <f t="shared" si="57"/>
        <v/>
      </c>
      <c r="K391" t="str">
        <f t="shared" si="58"/>
        <v/>
      </c>
      <c r="N391" t="str">
        <f t="shared" si="59"/>
        <v/>
      </c>
      <c r="P391" t="str">
        <f t="shared" si="60"/>
        <v/>
      </c>
      <c r="Q391" s="4" t="str">
        <f t="shared" si="61"/>
        <v/>
      </c>
      <c r="R391" t="str">
        <f t="shared" si="62"/>
        <v/>
      </c>
      <c r="S391" t="str">
        <f t="shared" si="63"/>
        <v/>
      </c>
      <c r="T391" t="str">
        <f>IF(C391="","",InventoryTable[[#This Row],[Profit per Unit]]*InventoryTable[[#This Row],[Total Pieces]])</f>
        <v/>
      </c>
      <c r="U391" t="str">
        <f t="shared" si="64"/>
        <v/>
      </c>
      <c r="V391" t="str">
        <f>IF(C391="","",H391-InventoryTable[[#This Row],[Units Sold]])</f>
        <v/>
      </c>
      <c r="W391" t="str">
        <f t="shared" si="65"/>
        <v/>
      </c>
      <c r="X391" t="str">
        <f t="shared" si="66"/>
        <v/>
      </c>
      <c r="Y391" t="str">
        <f>IF(C391="","",IF(InventoryTable[[#This Row],[Stock Balance]]&lt;=0,"Sold Out",IF((InventoryTable[[#This Row],[Stock Balance]]/InventoryTable[[#This Row],[Total Pieces]])&lt;=0.25,"Low on Stocks","Available")))</f>
        <v/>
      </c>
    </row>
    <row r="392" spans="1:25" x14ac:dyDescent="0.3">
      <c r="A392" t="str">
        <f>IF(C392="","",_xlfn.CONCAT(LEFT(InventoryTable[[#This Row],[Category]],1),InventoryTable[[#This Row],[Product Pricing Type]],ROW()))</f>
        <v/>
      </c>
      <c r="H392" t="str">
        <f t="shared" si="57"/>
        <v/>
      </c>
      <c r="K392" t="str">
        <f t="shared" si="58"/>
        <v/>
      </c>
      <c r="N392" t="str">
        <f t="shared" si="59"/>
        <v/>
      </c>
      <c r="P392" t="str">
        <f t="shared" si="60"/>
        <v/>
      </c>
      <c r="Q392" s="4" t="str">
        <f t="shared" si="61"/>
        <v/>
      </c>
      <c r="R392" t="str">
        <f t="shared" si="62"/>
        <v/>
      </c>
      <c r="S392" t="str">
        <f t="shared" si="63"/>
        <v/>
      </c>
      <c r="T392" t="str">
        <f>IF(C392="","",InventoryTable[[#This Row],[Profit per Unit]]*InventoryTable[[#This Row],[Total Pieces]])</f>
        <v/>
      </c>
      <c r="U392" t="str">
        <f t="shared" si="64"/>
        <v/>
      </c>
      <c r="V392" t="str">
        <f>IF(C392="","",H392-InventoryTable[[#This Row],[Units Sold]])</f>
        <v/>
      </c>
      <c r="W392" t="str">
        <f t="shared" si="65"/>
        <v/>
      </c>
      <c r="X392" t="str">
        <f t="shared" si="66"/>
        <v/>
      </c>
      <c r="Y392" t="str">
        <f>IF(C392="","",IF(InventoryTable[[#This Row],[Stock Balance]]&lt;=0,"Sold Out",IF((InventoryTable[[#This Row],[Stock Balance]]/InventoryTable[[#This Row],[Total Pieces]])&lt;=0.25,"Low on Stocks","Available")))</f>
        <v/>
      </c>
    </row>
    <row r="393" spans="1:25" x14ac:dyDescent="0.3">
      <c r="A393" t="str">
        <f>IF(C393="","",_xlfn.CONCAT(LEFT(InventoryTable[[#This Row],[Category]],1),InventoryTable[[#This Row],[Product Pricing Type]],ROW()))</f>
        <v/>
      </c>
      <c r="H393" t="str">
        <f t="shared" si="57"/>
        <v/>
      </c>
      <c r="K393" t="str">
        <f t="shared" si="58"/>
        <v/>
      </c>
      <c r="N393" t="str">
        <f t="shared" si="59"/>
        <v/>
      </c>
      <c r="P393" t="str">
        <f t="shared" si="60"/>
        <v/>
      </c>
      <c r="Q393" s="4" t="str">
        <f t="shared" si="61"/>
        <v/>
      </c>
      <c r="R393" t="str">
        <f t="shared" si="62"/>
        <v/>
      </c>
      <c r="S393" t="str">
        <f t="shared" si="63"/>
        <v/>
      </c>
      <c r="T393" t="str">
        <f>IF(C393="","",InventoryTable[[#This Row],[Profit per Unit]]*InventoryTable[[#This Row],[Total Pieces]])</f>
        <v/>
      </c>
      <c r="U393" t="str">
        <f t="shared" si="64"/>
        <v/>
      </c>
      <c r="V393" t="str">
        <f>IF(C393="","",H393-InventoryTable[[#This Row],[Units Sold]])</f>
        <v/>
      </c>
      <c r="W393" t="str">
        <f t="shared" si="65"/>
        <v/>
      </c>
      <c r="X393" t="str">
        <f t="shared" si="66"/>
        <v/>
      </c>
      <c r="Y393" t="str">
        <f>IF(C393="","",IF(InventoryTable[[#This Row],[Stock Balance]]&lt;=0,"Sold Out",IF((InventoryTable[[#This Row],[Stock Balance]]/InventoryTable[[#This Row],[Total Pieces]])&lt;=0.25,"Low on Stocks","Available")))</f>
        <v/>
      </c>
    </row>
    <row r="394" spans="1:25" x14ac:dyDescent="0.3">
      <c r="A394" t="str">
        <f>IF(C394="","",_xlfn.CONCAT(LEFT(InventoryTable[[#This Row],[Category]],1),InventoryTable[[#This Row],[Product Pricing Type]],ROW()))</f>
        <v/>
      </c>
      <c r="H394" t="str">
        <f t="shared" si="57"/>
        <v/>
      </c>
      <c r="K394" t="str">
        <f t="shared" si="58"/>
        <v/>
      </c>
      <c r="N394" t="str">
        <f t="shared" si="59"/>
        <v/>
      </c>
      <c r="P394" t="str">
        <f t="shared" si="60"/>
        <v/>
      </c>
      <c r="Q394" s="4" t="str">
        <f t="shared" si="61"/>
        <v/>
      </c>
      <c r="R394" t="str">
        <f t="shared" si="62"/>
        <v/>
      </c>
      <c r="S394" t="str">
        <f t="shared" si="63"/>
        <v/>
      </c>
      <c r="T394" t="str">
        <f>IF(C394="","",InventoryTable[[#This Row],[Profit per Unit]]*InventoryTable[[#This Row],[Total Pieces]])</f>
        <v/>
      </c>
      <c r="U394" t="str">
        <f t="shared" si="64"/>
        <v/>
      </c>
      <c r="V394" t="str">
        <f>IF(C394="","",H394-InventoryTable[[#This Row],[Units Sold]])</f>
        <v/>
      </c>
      <c r="W394" t="str">
        <f t="shared" si="65"/>
        <v/>
      </c>
      <c r="X394" t="str">
        <f t="shared" si="66"/>
        <v/>
      </c>
      <c r="Y394" t="str">
        <f>IF(C394="","",IF(InventoryTable[[#This Row],[Stock Balance]]&lt;=0,"Sold Out",IF((InventoryTable[[#This Row],[Stock Balance]]/InventoryTable[[#This Row],[Total Pieces]])&lt;=0.25,"Low on Stocks","Available")))</f>
        <v/>
      </c>
    </row>
    <row r="395" spans="1:25" x14ac:dyDescent="0.3">
      <c r="A395" t="str">
        <f>IF(C395="","",_xlfn.CONCAT(LEFT(InventoryTable[[#This Row],[Category]],1),InventoryTable[[#This Row],[Product Pricing Type]],ROW()))</f>
        <v/>
      </c>
      <c r="H395" t="str">
        <f t="shared" si="57"/>
        <v/>
      </c>
      <c r="K395" t="str">
        <f t="shared" si="58"/>
        <v/>
      </c>
      <c r="N395" t="str">
        <f t="shared" si="59"/>
        <v/>
      </c>
      <c r="P395" t="str">
        <f t="shared" si="60"/>
        <v/>
      </c>
      <c r="Q395" s="4" t="str">
        <f t="shared" si="61"/>
        <v/>
      </c>
      <c r="R395" t="str">
        <f t="shared" si="62"/>
        <v/>
      </c>
      <c r="S395" t="str">
        <f t="shared" si="63"/>
        <v/>
      </c>
      <c r="T395" t="str">
        <f>IF(C395="","",InventoryTable[[#This Row],[Profit per Unit]]*InventoryTable[[#This Row],[Total Pieces]])</f>
        <v/>
      </c>
      <c r="U395" t="str">
        <f t="shared" si="64"/>
        <v/>
      </c>
      <c r="V395" t="str">
        <f>IF(C395="","",H395-InventoryTable[[#This Row],[Units Sold]])</f>
        <v/>
      </c>
      <c r="W395" t="str">
        <f t="shared" si="65"/>
        <v/>
      </c>
      <c r="X395" t="str">
        <f t="shared" si="66"/>
        <v/>
      </c>
      <c r="Y395" t="str">
        <f>IF(C395="","",IF(InventoryTable[[#This Row],[Stock Balance]]&lt;=0,"Sold Out",IF((InventoryTable[[#This Row],[Stock Balance]]/InventoryTable[[#This Row],[Total Pieces]])&lt;=0.25,"Low on Stocks","Available")))</f>
        <v/>
      </c>
    </row>
    <row r="396" spans="1:25" x14ac:dyDescent="0.3">
      <c r="A396" t="str">
        <f>IF(C396="","",_xlfn.CONCAT(LEFT(InventoryTable[[#This Row],[Category]],1),InventoryTable[[#This Row],[Product Pricing Type]],ROW()))</f>
        <v/>
      </c>
      <c r="H396" t="str">
        <f t="shared" si="57"/>
        <v/>
      </c>
      <c r="K396" t="str">
        <f t="shared" si="58"/>
        <v/>
      </c>
      <c r="N396" t="str">
        <f t="shared" si="59"/>
        <v/>
      </c>
      <c r="P396" t="str">
        <f t="shared" si="60"/>
        <v/>
      </c>
      <c r="Q396" s="4" t="str">
        <f t="shared" si="61"/>
        <v/>
      </c>
      <c r="R396" t="str">
        <f t="shared" si="62"/>
        <v/>
      </c>
      <c r="S396" t="str">
        <f t="shared" si="63"/>
        <v/>
      </c>
      <c r="T396" t="str">
        <f>IF(C396="","",InventoryTable[[#This Row],[Profit per Unit]]*InventoryTable[[#This Row],[Total Pieces]])</f>
        <v/>
      </c>
      <c r="U396" t="str">
        <f t="shared" si="64"/>
        <v/>
      </c>
      <c r="V396" t="str">
        <f>IF(C396="","",H396-InventoryTable[[#This Row],[Units Sold]])</f>
        <v/>
      </c>
      <c r="W396" t="str">
        <f t="shared" si="65"/>
        <v/>
      </c>
      <c r="X396" t="str">
        <f t="shared" si="66"/>
        <v/>
      </c>
      <c r="Y396" t="str">
        <f>IF(C396="","",IF(InventoryTable[[#This Row],[Stock Balance]]&lt;=0,"Sold Out",IF((InventoryTable[[#This Row],[Stock Balance]]/InventoryTable[[#This Row],[Total Pieces]])&lt;=0.25,"Low on Stocks","Available")))</f>
        <v/>
      </c>
    </row>
    <row r="397" spans="1:25" x14ac:dyDescent="0.3">
      <c r="A397" t="str">
        <f>IF(C397="","",_xlfn.CONCAT(LEFT(InventoryTable[[#This Row],[Category]],1),InventoryTable[[#This Row],[Product Pricing Type]],ROW()))</f>
        <v/>
      </c>
      <c r="H397" t="str">
        <f t="shared" si="57"/>
        <v/>
      </c>
      <c r="K397" t="str">
        <f t="shared" si="58"/>
        <v/>
      </c>
      <c r="N397" t="str">
        <f t="shared" si="59"/>
        <v/>
      </c>
      <c r="P397" t="str">
        <f t="shared" si="60"/>
        <v/>
      </c>
      <c r="Q397" s="4" t="str">
        <f t="shared" si="61"/>
        <v/>
      </c>
      <c r="R397" t="str">
        <f t="shared" si="62"/>
        <v/>
      </c>
      <c r="S397" t="str">
        <f t="shared" si="63"/>
        <v/>
      </c>
      <c r="T397" t="str">
        <f>IF(C397="","",InventoryTable[[#This Row],[Profit per Unit]]*InventoryTable[[#This Row],[Total Pieces]])</f>
        <v/>
      </c>
      <c r="U397" t="str">
        <f t="shared" si="64"/>
        <v/>
      </c>
      <c r="V397" t="str">
        <f>IF(C397="","",H397-InventoryTable[[#This Row],[Units Sold]])</f>
        <v/>
      </c>
      <c r="W397" t="str">
        <f t="shared" si="65"/>
        <v/>
      </c>
      <c r="X397" t="str">
        <f t="shared" si="66"/>
        <v/>
      </c>
      <c r="Y397" t="str">
        <f>IF(C397="","",IF(InventoryTable[[#This Row],[Stock Balance]]&lt;=0,"Sold Out",IF((InventoryTable[[#This Row],[Stock Balance]]/InventoryTable[[#This Row],[Total Pieces]])&lt;=0.25,"Low on Stocks","Available")))</f>
        <v/>
      </c>
    </row>
    <row r="398" spans="1:25" x14ac:dyDescent="0.3">
      <c r="A398" t="str">
        <f>IF(C398="","",_xlfn.CONCAT(LEFT(InventoryTable[[#This Row],[Category]],1),InventoryTable[[#This Row],[Product Pricing Type]],ROW()))</f>
        <v/>
      </c>
      <c r="H398" t="str">
        <f t="shared" si="57"/>
        <v/>
      </c>
      <c r="K398" t="str">
        <f t="shared" si="58"/>
        <v/>
      </c>
      <c r="N398" t="str">
        <f t="shared" si="59"/>
        <v/>
      </c>
      <c r="P398" t="str">
        <f t="shared" si="60"/>
        <v/>
      </c>
      <c r="Q398" s="4" t="str">
        <f t="shared" si="61"/>
        <v/>
      </c>
      <c r="R398" t="str">
        <f t="shared" si="62"/>
        <v/>
      </c>
      <c r="S398" t="str">
        <f t="shared" si="63"/>
        <v/>
      </c>
      <c r="T398" t="str">
        <f>IF(C398="","",InventoryTable[[#This Row],[Profit per Unit]]*InventoryTable[[#This Row],[Total Pieces]])</f>
        <v/>
      </c>
      <c r="U398" t="str">
        <f t="shared" si="64"/>
        <v/>
      </c>
      <c r="V398" t="str">
        <f>IF(C398="","",H398-InventoryTable[[#This Row],[Units Sold]])</f>
        <v/>
      </c>
      <c r="W398" t="str">
        <f t="shared" si="65"/>
        <v/>
      </c>
      <c r="X398" t="str">
        <f t="shared" si="66"/>
        <v/>
      </c>
      <c r="Y398" t="str">
        <f>IF(C398="","",IF(InventoryTable[[#This Row],[Stock Balance]]&lt;=0,"Sold Out",IF((InventoryTable[[#This Row],[Stock Balance]]/InventoryTable[[#This Row],[Total Pieces]])&lt;=0.25,"Low on Stocks","Available")))</f>
        <v/>
      </c>
    </row>
    <row r="399" spans="1:25" x14ac:dyDescent="0.3">
      <c r="A399" t="str">
        <f>IF(C399="","",_xlfn.CONCAT(LEFT(InventoryTable[[#This Row],[Category]],1),InventoryTable[[#This Row],[Product Pricing Type]],ROW()))</f>
        <v/>
      </c>
      <c r="H399" t="str">
        <f t="shared" si="57"/>
        <v/>
      </c>
      <c r="K399" t="str">
        <f t="shared" si="58"/>
        <v/>
      </c>
      <c r="N399" t="str">
        <f t="shared" si="59"/>
        <v/>
      </c>
      <c r="P399" t="str">
        <f t="shared" si="60"/>
        <v/>
      </c>
      <c r="Q399" s="4" t="str">
        <f t="shared" si="61"/>
        <v/>
      </c>
      <c r="R399" t="str">
        <f t="shared" si="62"/>
        <v/>
      </c>
      <c r="S399" t="str">
        <f t="shared" si="63"/>
        <v/>
      </c>
      <c r="T399" t="str">
        <f>IF(C399="","",InventoryTable[[#This Row],[Profit per Unit]]*InventoryTable[[#This Row],[Total Pieces]])</f>
        <v/>
      </c>
      <c r="U399" t="str">
        <f t="shared" si="64"/>
        <v/>
      </c>
      <c r="V399" t="str">
        <f>IF(C399="","",H399-InventoryTable[[#This Row],[Units Sold]])</f>
        <v/>
      </c>
      <c r="W399" t="str">
        <f t="shared" si="65"/>
        <v/>
      </c>
      <c r="X399" t="str">
        <f t="shared" si="66"/>
        <v/>
      </c>
      <c r="Y399" t="str">
        <f>IF(C399="","",IF(InventoryTable[[#This Row],[Stock Balance]]&lt;=0,"Sold Out",IF((InventoryTable[[#This Row],[Stock Balance]]/InventoryTable[[#This Row],[Total Pieces]])&lt;=0.25,"Low on Stocks","Available")))</f>
        <v/>
      </c>
    </row>
    <row r="400" spans="1:25" x14ac:dyDescent="0.3">
      <c r="A400" t="str">
        <f>IF(C400="","",_xlfn.CONCAT(LEFT(InventoryTable[[#This Row],[Category]],1),InventoryTable[[#This Row],[Product Pricing Type]],ROW()))</f>
        <v/>
      </c>
      <c r="H400" t="str">
        <f t="shared" si="57"/>
        <v/>
      </c>
      <c r="K400" t="str">
        <f t="shared" si="58"/>
        <v/>
      </c>
      <c r="N400" t="str">
        <f t="shared" si="59"/>
        <v/>
      </c>
      <c r="P400" t="str">
        <f t="shared" si="60"/>
        <v/>
      </c>
      <c r="Q400" s="4" t="str">
        <f t="shared" si="61"/>
        <v/>
      </c>
      <c r="R400" t="str">
        <f t="shared" si="62"/>
        <v/>
      </c>
      <c r="S400" t="str">
        <f t="shared" si="63"/>
        <v/>
      </c>
      <c r="T400" t="str">
        <f>IF(C400="","",InventoryTable[[#This Row],[Profit per Unit]]*InventoryTable[[#This Row],[Total Pieces]])</f>
        <v/>
      </c>
      <c r="U400" t="str">
        <f t="shared" si="64"/>
        <v/>
      </c>
      <c r="V400" t="str">
        <f>IF(C400="","",H400-InventoryTable[[#This Row],[Units Sold]])</f>
        <v/>
      </c>
      <c r="W400" t="str">
        <f t="shared" si="65"/>
        <v/>
      </c>
      <c r="X400" t="str">
        <f t="shared" si="66"/>
        <v/>
      </c>
      <c r="Y400" t="str">
        <f>IF(C400="","",IF(InventoryTable[[#This Row],[Stock Balance]]&lt;=0,"Sold Out",IF((InventoryTable[[#This Row],[Stock Balance]]/InventoryTable[[#This Row],[Total Pieces]])&lt;=0.25,"Low on Stocks","Available")))</f>
        <v/>
      </c>
    </row>
    <row r="401" spans="1:25" x14ac:dyDescent="0.3">
      <c r="A401" t="str">
        <f>IF(C401="","",_xlfn.CONCAT(LEFT(InventoryTable[[#This Row],[Category]],1),InventoryTable[[#This Row],[Product Pricing Type]],ROW()))</f>
        <v/>
      </c>
      <c r="H401" t="str">
        <f t="shared" si="57"/>
        <v/>
      </c>
      <c r="K401" t="str">
        <f t="shared" si="58"/>
        <v/>
      </c>
      <c r="N401" t="str">
        <f t="shared" si="59"/>
        <v/>
      </c>
      <c r="P401" t="str">
        <f t="shared" si="60"/>
        <v/>
      </c>
      <c r="Q401" s="4" t="str">
        <f t="shared" si="61"/>
        <v/>
      </c>
      <c r="R401" t="str">
        <f t="shared" si="62"/>
        <v/>
      </c>
      <c r="S401" t="str">
        <f t="shared" si="63"/>
        <v/>
      </c>
      <c r="T401" t="str">
        <f>IF(C401="","",InventoryTable[[#This Row],[Profit per Unit]]*InventoryTable[[#This Row],[Total Pieces]])</f>
        <v/>
      </c>
      <c r="U401" t="str">
        <f t="shared" si="64"/>
        <v/>
      </c>
      <c r="V401" t="str">
        <f>IF(C401="","",H401-InventoryTable[[#This Row],[Units Sold]])</f>
        <v/>
      </c>
      <c r="W401" t="str">
        <f t="shared" si="65"/>
        <v/>
      </c>
      <c r="X401" t="str">
        <f t="shared" si="66"/>
        <v/>
      </c>
      <c r="Y401" t="str">
        <f>IF(C401="","",IF(InventoryTable[[#This Row],[Stock Balance]]&lt;=0,"Sold Out",IF((InventoryTable[[#This Row],[Stock Balance]]/InventoryTable[[#This Row],[Total Pieces]])&lt;=0.25,"Low on Stocks","Available")))</f>
        <v/>
      </c>
    </row>
    <row r="402" spans="1:25" x14ac:dyDescent="0.3">
      <c r="A402" t="str">
        <f>IF(C402="","",_xlfn.CONCAT(LEFT(InventoryTable[[#This Row],[Category]],1),InventoryTable[[#This Row],[Product Pricing Type]],ROW()))</f>
        <v/>
      </c>
      <c r="H402" t="str">
        <f t="shared" si="57"/>
        <v/>
      </c>
      <c r="K402" t="str">
        <f t="shared" si="58"/>
        <v/>
      </c>
      <c r="N402" t="str">
        <f t="shared" si="59"/>
        <v/>
      </c>
      <c r="P402" t="str">
        <f t="shared" si="60"/>
        <v/>
      </c>
      <c r="Q402" s="4" t="str">
        <f t="shared" si="61"/>
        <v/>
      </c>
      <c r="R402" t="str">
        <f t="shared" si="62"/>
        <v/>
      </c>
      <c r="S402" t="str">
        <f t="shared" si="63"/>
        <v/>
      </c>
      <c r="T402" t="str">
        <f>IF(C402="","",InventoryTable[[#This Row],[Profit per Unit]]*InventoryTable[[#This Row],[Total Pieces]])</f>
        <v/>
      </c>
      <c r="U402" t="str">
        <f t="shared" si="64"/>
        <v/>
      </c>
      <c r="V402" t="str">
        <f>IF(C402="","",H402-InventoryTable[[#This Row],[Units Sold]])</f>
        <v/>
      </c>
      <c r="W402" t="str">
        <f t="shared" si="65"/>
        <v/>
      </c>
      <c r="X402" t="str">
        <f t="shared" si="66"/>
        <v/>
      </c>
      <c r="Y402" t="str">
        <f>IF(C402="","",IF(InventoryTable[[#This Row],[Stock Balance]]&lt;=0,"Sold Out",IF((InventoryTable[[#This Row],[Stock Balance]]/InventoryTable[[#This Row],[Total Pieces]])&lt;=0.25,"Low on Stocks","Available")))</f>
        <v/>
      </c>
    </row>
    <row r="403" spans="1:25" x14ac:dyDescent="0.3">
      <c r="A403" t="str">
        <f>IF(C403="","",_xlfn.CONCAT(LEFT(InventoryTable[[#This Row],[Category]],1),InventoryTable[[#This Row],[Product Pricing Type]],ROW()))</f>
        <v/>
      </c>
      <c r="H403" t="str">
        <f t="shared" si="57"/>
        <v/>
      </c>
      <c r="K403" t="str">
        <f t="shared" si="58"/>
        <v/>
      </c>
      <c r="N403" t="str">
        <f t="shared" si="59"/>
        <v/>
      </c>
      <c r="P403" t="str">
        <f t="shared" si="60"/>
        <v/>
      </c>
      <c r="Q403" s="4" t="str">
        <f t="shared" si="61"/>
        <v/>
      </c>
      <c r="R403" t="str">
        <f t="shared" si="62"/>
        <v/>
      </c>
      <c r="S403" t="str">
        <f t="shared" si="63"/>
        <v/>
      </c>
      <c r="T403" t="str">
        <f>IF(C403="","",InventoryTable[[#This Row],[Profit per Unit]]*InventoryTable[[#This Row],[Total Pieces]])</f>
        <v/>
      </c>
      <c r="U403" t="str">
        <f t="shared" si="64"/>
        <v/>
      </c>
      <c r="V403" t="str">
        <f>IF(C403="","",H403-InventoryTable[[#This Row],[Units Sold]])</f>
        <v/>
      </c>
      <c r="W403" t="str">
        <f t="shared" si="65"/>
        <v/>
      </c>
      <c r="X403" t="str">
        <f t="shared" si="66"/>
        <v/>
      </c>
      <c r="Y403" t="str">
        <f>IF(C403="","",IF(InventoryTable[[#This Row],[Stock Balance]]&lt;=0,"Sold Out",IF((InventoryTable[[#This Row],[Stock Balance]]/InventoryTable[[#This Row],[Total Pieces]])&lt;=0.25,"Low on Stocks","Available")))</f>
        <v/>
      </c>
    </row>
    <row r="404" spans="1:25" x14ac:dyDescent="0.3">
      <c r="A404" t="str">
        <f>IF(C404="","",_xlfn.CONCAT(LEFT(InventoryTable[[#This Row],[Category]],1),InventoryTable[[#This Row],[Product Pricing Type]],ROW()))</f>
        <v/>
      </c>
      <c r="H404" t="str">
        <f t="shared" si="57"/>
        <v/>
      </c>
      <c r="K404" t="str">
        <f t="shared" si="58"/>
        <v/>
      </c>
      <c r="N404" t="str">
        <f t="shared" si="59"/>
        <v/>
      </c>
      <c r="P404" t="str">
        <f t="shared" si="60"/>
        <v/>
      </c>
      <c r="Q404" s="4" t="str">
        <f t="shared" si="61"/>
        <v/>
      </c>
      <c r="R404" t="str">
        <f t="shared" si="62"/>
        <v/>
      </c>
      <c r="S404" t="str">
        <f t="shared" si="63"/>
        <v/>
      </c>
      <c r="T404" t="str">
        <f>IF(C404="","",InventoryTable[[#This Row],[Profit per Unit]]*InventoryTable[[#This Row],[Total Pieces]])</f>
        <v/>
      </c>
      <c r="U404" t="str">
        <f t="shared" si="64"/>
        <v/>
      </c>
      <c r="V404" t="str">
        <f>IF(C404="","",H404-InventoryTable[[#This Row],[Units Sold]])</f>
        <v/>
      </c>
      <c r="W404" t="str">
        <f t="shared" si="65"/>
        <v/>
      </c>
      <c r="X404" t="str">
        <f t="shared" si="66"/>
        <v/>
      </c>
      <c r="Y404" t="str">
        <f>IF(C404="","",IF(InventoryTable[[#This Row],[Stock Balance]]&lt;=0,"Sold Out",IF((InventoryTable[[#This Row],[Stock Balance]]/InventoryTable[[#This Row],[Total Pieces]])&lt;=0.25,"Low on Stocks","Available")))</f>
        <v/>
      </c>
    </row>
    <row r="405" spans="1:25" x14ac:dyDescent="0.3">
      <c r="A405" t="str">
        <f>IF(C405="","",_xlfn.CONCAT(LEFT(InventoryTable[[#This Row],[Category]],1),InventoryTable[[#This Row],[Product Pricing Type]],ROW()))</f>
        <v/>
      </c>
      <c r="H405" t="str">
        <f t="shared" si="57"/>
        <v/>
      </c>
      <c r="K405" t="str">
        <f t="shared" si="58"/>
        <v/>
      </c>
      <c r="N405" t="str">
        <f t="shared" si="59"/>
        <v/>
      </c>
      <c r="P405" t="str">
        <f t="shared" si="60"/>
        <v/>
      </c>
      <c r="Q405" s="4" t="str">
        <f t="shared" si="61"/>
        <v/>
      </c>
      <c r="R405" t="str">
        <f t="shared" si="62"/>
        <v/>
      </c>
      <c r="S405" t="str">
        <f t="shared" si="63"/>
        <v/>
      </c>
      <c r="T405" t="str">
        <f>IF(C405="","",InventoryTable[[#This Row],[Profit per Unit]]*InventoryTable[[#This Row],[Total Pieces]])</f>
        <v/>
      </c>
      <c r="U405" t="str">
        <f t="shared" si="64"/>
        <v/>
      </c>
      <c r="V405" t="str">
        <f>IF(C405="","",H405-InventoryTable[[#This Row],[Units Sold]])</f>
        <v/>
      </c>
      <c r="W405" t="str">
        <f t="shared" si="65"/>
        <v/>
      </c>
      <c r="X405" t="str">
        <f t="shared" si="66"/>
        <v/>
      </c>
      <c r="Y405" t="str">
        <f>IF(C405="","",IF(InventoryTable[[#This Row],[Stock Balance]]&lt;=0,"Sold Out",IF((InventoryTable[[#This Row],[Stock Balance]]/InventoryTable[[#This Row],[Total Pieces]])&lt;=0.25,"Low on Stocks","Available")))</f>
        <v/>
      </c>
    </row>
    <row r="406" spans="1:25" x14ac:dyDescent="0.3">
      <c r="A406" t="str">
        <f>IF(C406="","",_xlfn.CONCAT(LEFT(InventoryTable[[#This Row],[Category]],1),InventoryTable[[#This Row],[Product Pricing Type]],ROW()))</f>
        <v/>
      </c>
      <c r="H406" t="str">
        <f t="shared" si="57"/>
        <v/>
      </c>
      <c r="K406" t="str">
        <f t="shared" si="58"/>
        <v/>
      </c>
      <c r="N406" t="str">
        <f t="shared" si="59"/>
        <v/>
      </c>
      <c r="P406" t="str">
        <f t="shared" si="60"/>
        <v/>
      </c>
      <c r="Q406" s="4" t="str">
        <f t="shared" si="61"/>
        <v/>
      </c>
      <c r="R406" t="str">
        <f t="shared" si="62"/>
        <v/>
      </c>
      <c r="S406" t="str">
        <f t="shared" si="63"/>
        <v/>
      </c>
      <c r="T406" t="str">
        <f>IF(C406="","",InventoryTable[[#This Row],[Profit per Unit]]*InventoryTable[[#This Row],[Total Pieces]])</f>
        <v/>
      </c>
      <c r="U406" t="str">
        <f t="shared" si="64"/>
        <v/>
      </c>
      <c r="V406" t="str">
        <f>IF(C406="","",H406-InventoryTable[[#This Row],[Units Sold]])</f>
        <v/>
      </c>
      <c r="W406" t="str">
        <f t="shared" si="65"/>
        <v/>
      </c>
      <c r="X406" t="str">
        <f t="shared" si="66"/>
        <v/>
      </c>
      <c r="Y406" t="str">
        <f>IF(C406="","",IF(InventoryTable[[#This Row],[Stock Balance]]&lt;=0,"Sold Out",IF((InventoryTable[[#This Row],[Stock Balance]]/InventoryTable[[#This Row],[Total Pieces]])&lt;=0.25,"Low on Stocks","Available")))</f>
        <v/>
      </c>
    </row>
    <row r="407" spans="1:25" x14ac:dyDescent="0.3">
      <c r="A407" t="str">
        <f>IF(C407="","",_xlfn.CONCAT(LEFT(InventoryTable[[#This Row],[Category]],1),InventoryTable[[#This Row],[Product Pricing Type]],ROW()))</f>
        <v/>
      </c>
      <c r="H407" t="str">
        <f t="shared" si="57"/>
        <v/>
      </c>
      <c r="K407" t="str">
        <f t="shared" si="58"/>
        <v/>
      </c>
      <c r="N407" t="str">
        <f t="shared" si="59"/>
        <v/>
      </c>
      <c r="P407" t="str">
        <f t="shared" si="60"/>
        <v/>
      </c>
      <c r="Q407" s="4" t="str">
        <f t="shared" si="61"/>
        <v/>
      </c>
      <c r="R407" t="str">
        <f t="shared" si="62"/>
        <v/>
      </c>
      <c r="S407" t="str">
        <f t="shared" si="63"/>
        <v/>
      </c>
      <c r="T407" t="str">
        <f>IF(C407="","",InventoryTable[[#This Row],[Profit per Unit]]*InventoryTable[[#This Row],[Total Pieces]])</f>
        <v/>
      </c>
      <c r="U407" t="str">
        <f t="shared" si="64"/>
        <v/>
      </c>
      <c r="V407" t="str">
        <f>IF(C407="","",H407-InventoryTable[[#This Row],[Units Sold]])</f>
        <v/>
      </c>
      <c r="W407" t="str">
        <f t="shared" si="65"/>
        <v/>
      </c>
      <c r="X407" t="str">
        <f t="shared" si="66"/>
        <v/>
      </c>
      <c r="Y407" t="str">
        <f>IF(C407="","",IF(InventoryTable[[#This Row],[Stock Balance]]&lt;=0,"Sold Out",IF((InventoryTable[[#This Row],[Stock Balance]]/InventoryTable[[#This Row],[Total Pieces]])&lt;=0.25,"Low on Stocks","Available")))</f>
        <v/>
      </c>
    </row>
    <row r="408" spans="1:25" x14ac:dyDescent="0.3">
      <c r="A408" t="str">
        <f>IF(C408="","",_xlfn.CONCAT(LEFT(InventoryTable[[#This Row],[Category]],1),InventoryTable[[#This Row],[Product Pricing Type]],ROW()))</f>
        <v/>
      </c>
      <c r="H408" t="str">
        <f t="shared" si="57"/>
        <v/>
      </c>
      <c r="K408" t="str">
        <f t="shared" si="58"/>
        <v/>
      </c>
      <c r="N408" t="str">
        <f t="shared" si="59"/>
        <v/>
      </c>
      <c r="P408" t="str">
        <f t="shared" si="60"/>
        <v/>
      </c>
      <c r="Q408" s="4" t="str">
        <f t="shared" si="61"/>
        <v/>
      </c>
      <c r="R408" t="str">
        <f t="shared" si="62"/>
        <v/>
      </c>
      <c r="S408" t="str">
        <f t="shared" si="63"/>
        <v/>
      </c>
      <c r="T408" t="str">
        <f>IF(C408="","",InventoryTable[[#This Row],[Profit per Unit]]*InventoryTable[[#This Row],[Total Pieces]])</f>
        <v/>
      </c>
      <c r="U408" t="str">
        <f t="shared" si="64"/>
        <v/>
      </c>
      <c r="V408" t="str">
        <f>IF(C408="","",H408-InventoryTable[[#This Row],[Units Sold]])</f>
        <v/>
      </c>
      <c r="W408" t="str">
        <f t="shared" si="65"/>
        <v/>
      </c>
      <c r="X408" t="str">
        <f t="shared" si="66"/>
        <v/>
      </c>
      <c r="Y408" t="str">
        <f>IF(C408="","",IF(InventoryTable[[#This Row],[Stock Balance]]&lt;=0,"Sold Out",IF((InventoryTable[[#This Row],[Stock Balance]]/InventoryTable[[#This Row],[Total Pieces]])&lt;=0.25,"Low on Stocks","Available")))</f>
        <v/>
      </c>
    </row>
    <row r="409" spans="1:25" x14ac:dyDescent="0.3">
      <c r="A409" t="str">
        <f>IF(C409="","",_xlfn.CONCAT(LEFT(InventoryTable[[#This Row],[Category]],1),InventoryTable[[#This Row],[Product Pricing Type]],ROW()))</f>
        <v/>
      </c>
      <c r="H409" t="str">
        <f t="shared" si="57"/>
        <v/>
      </c>
      <c r="K409" t="str">
        <f t="shared" si="58"/>
        <v/>
      </c>
      <c r="N409" t="str">
        <f t="shared" si="59"/>
        <v/>
      </c>
      <c r="P409" t="str">
        <f t="shared" si="60"/>
        <v/>
      </c>
      <c r="Q409" s="4" t="str">
        <f t="shared" si="61"/>
        <v/>
      </c>
      <c r="R409" t="str">
        <f t="shared" si="62"/>
        <v/>
      </c>
      <c r="S409" t="str">
        <f t="shared" si="63"/>
        <v/>
      </c>
      <c r="T409" t="str">
        <f>IF(C409="","",InventoryTable[[#This Row],[Profit per Unit]]*InventoryTable[[#This Row],[Total Pieces]])</f>
        <v/>
      </c>
      <c r="U409" t="str">
        <f t="shared" si="64"/>
        <v/>
      </c>
      <c r="V409" t="str">
        <f>IF(C409="","",H409-InventoryTable[[#This Row],[Units Sold]])</f>
        <v/>
      </c>
      <c r="W409" t="str">
        <f t="shared" si="65"/>
        <v/>
      </c>
      <c r="X409" t="str">
        <f t="shared" si="66"/>
        <v/>
      </c>
      <c r="Y409" t="str">
        <f>IF(C409="","",IF(InventoryTable[[#This Row],[Stock Balance]]&lt;=0,"Sold Out",IF((InventoryTable[[#This Row],[Stock Balance]]/InventoryTable[[#This Row],[Total Pieces]])&lt;=0.25,"Low on Stocks","Available")))</f>
        <v/>
      </c>
    </row>
    <row r="410" spans="1:25" x14ac:dyDescent="0.3">
      <c r="A410" t="str">
        <f>IF(C410="","",_xlfn.CONCAT(LEFT(InventoryTable[[#This Row],[Category]],1),InventoryTable[[#This Row],[Product Pricing Type]],ROW()))</f>
        <v/>
      </c>
      <c r="H410" t="str">
        <f t="shared" si="57"/>
        <v/>
      </c>
      <c r="K410" t="str">
        <f t="shared" si="58"/>
        <v/>
      </c>
      <c r="N410" t="str">
        <f t="shared" si="59"/>
        <v/>
      </c>
      <c r="P410" t="str">
        <f t="shared" si="60"/>
        <v/>
      </c>
      <c r="Q410" s="4" t="str">
        <f t="shared" si="61"/>
        <v/>
      </c>
      <c r="R410" t="str">
        <f t="shared" si="62"/>
        <v/>
      </c>
      <c r="S410" t="str">
        <f t="shared" si="63"/>
        <v/>
      </c>
      <c r="T410" t="str">
        <f>IF(C410="","",InventoryTable[[#This Row],[Profit per Unit]]*InventoryTable[[#This Row],[Total Pieces]])</f>
        <v/>
      </c>
      <c r="U410" t="str">
        <f t="shared" si="64"/>
        <v/>
      </c>
      <c r="V410" t="str">
        <f>IF(C410="","",H410-InventoryTable[[#This Row],[Units Sold]])</f>
        <v/>
      </c>
      <c r="W410" t="str">
        <f t="shared" si="65"/>
        <v/>
      </c>
      <c r="X410" t="str">
        <f t="shared" si="66"/>
        <v/>
      </c>
      <c r="Y410" t="str">
        <f>IF(C410="","",IF(InventoryTable[[#This Row],[Stock Balance]]&lt;=0,"Sold Out",IF((InventoryTable[[#This Row],[Stock Balance]]/InventoryTable[[#This Row],[Total Pieces]])&lt;=0.25,"Low on Stocks","Available")))</f>
        <v/>
      </c>
    </row>
    <row r="411" spans="1:25" x14ac:dyDescent="0.3">
      <c r="A411" t="str">
        <f>IF(C411="","",_xlfn.CONCAT(LEFT(InventoryTable[[#This Row],[Category]],1),InventoryTable[[#This Row],[Product Pricing Type]],ROW()))</f>
        <v/>
      </c>
      <c r="H411" t="str">
        <f t="shared" si="57"/>
        <v/>
      </c>
      <c r="K411" t="str">
        <f t="shared" si="58"/>
        <v/>
      </c>
      <c r="N411" t="str">
        <f t="shared" si="59"/>
        <v/>
      </c>
      <c r="P411" t="str">
        <f t="shared" si="60"/>
        <v/>
      </c>
      <c r="Q411" s="4" t="str">
        <f t="shared" si="61"/>
        <v/>
      </c>
      <c r="R411" t="str">
        <f t="shared" si="62"/>
        <v/>
      </c>
      <c r="S411" t="str">
        <f t="shared" si="63"/>
        <v/>
      </c>
      <c r="T411" t="str">
        <f>IF(C411="","",InventoryTable[[#This Row],[Profit per Unit]]*InventoryTable[[#This Row],[Total Pieces]])</f>
        <v/>
      </c>
      <c r="U411" t="str">
        <f t="shared" si="64"/>
        <v/>
      </c>
      <c r="V411" t="str">
        <f>IF(C411="","",H411-InventoryTable[[#This Row],[Units Sold]])</f>
        <v/>
      </c>
      <c r="W411" t="str">
        <f t="shared" si="65"/>
        <v/>
      </c>
      <c r="X411" t="str">
        <f t="shared" si="66"/>
        <v/>
      </c>
      <c r="Y411" t="str">
        <f>IF(C411="","",IF(InventoryTable[[#This Row],[Stock Balance]]&lt;=0,"Sold Out",IF((InventoryTable[[#This Row],[Stock Balance]]/InventoryTable[[#This Row],[Total Pieces]])&lt;=0.25,"Low on Stocks","Available")))</f>
        <v/>
      </c>
    </row>
    <row r="412" spans="1:25" x14ac:dyDescent="0.3">
      <c r="A412" t="str">
        <f>IF(C412="","",_xlfn.CONCAT(LEFT(InventoryTable[[#This Row],[Category]],1),InventoryTable[[#This Row],[Product Pricing Type]],ROW()))</f>
        <v/>
      </c>
      <c r="H412" t="str">
        <f t="shared" si="57"/>
        <v/>
      </c>
      <c r="K412" t="str">
        <f t="shared" si="58"/>
        <v/>
      </c>
      <c r="N412" t="str">
        <f t="shared" si="59"/>
        <v/>
      </c>
      <c r="P412" t="str">
        <f t="shared" si="60"/>
        <v/>
      </c>
      <c r="Q412" s="4" t="str">
        <f t="shared" si="61"/>
        <v/>
      </c>
      <c r="R412" t="str">
        <f t="shared" si="62"/>
        <v/>
      </c>
      <c r="S412" t="str">
        <f t="shared" si="63"/>
        <v/>
      </c>
      <c r="T412" t="str">
        <f>IF(C412="","",InventoryTable[[#This Row],[Profit per Unit]]*InventoryTable[[#This Row],[Total Pieces]])</f>
        <v/>
      </c>
      <c r="U412" t="str">
        <f t="shared" si="64"/>
        <v/>
      </c>
      <c r="V412" t="str">
        <f>IF(C412="","",H412-InventoryTable[[#This Row],[Units Sold]])</f>
        <v/>
      </c>
      <c r="W412" t="str">
        <f t="shared" si="65"/>
        <v/>
      </c>
      <c r="X412" t="str">
        <f t="shared" si="66"/>
        <v/>
      </c>
      <c r="Y412" t="str">
        <f>IF(C412="","",IF(InventoryTable[[#This Row],[Stock Balance]]&lt;=0,"Sold Out",IF((InventoryTable[[#This Row],[Stock Balance]]/InventoryTable[[#This Row],[Total Pieces]])&lt;=0.25,"Low on Stocks","Available")))</f>
        <v/>
      </c>
    </row>
    <row r="413" spans="1:25" x14ac:dyDescent="0.3">
      <c r="A413" t="str">
        <f>IF(C413="","",_xlfn.CONCAT(LEFT(InventoryTable[[#This Row],[Category]],1),InventoryTable[[#This Row],[Product Pricing Type]],ROW()))</f>
        <v/>
      </c>
      <c r="H413" t="str">
        <f t="shared" si="57"/>
        <v/>
      </c>
      <c r="K413" t="str">
        <f t="shared" si="58"/>
        <v/>
      </c>
      <c r="N413" t="str">
        <f t="shared" si="59"/>
        <v/>
      </c>
      <c r="P413" t="str">
        <f t="shared" si="60"/>
        <v/>
      </c>
      <c r="Q413" s="4" t="str">
        <f t="shared" si="61"/>
        <v/>
      </c>
      <c r="R413" t="str">
        <f t="shared" si="62"/>
        <v/>
      </c>
      <c r="S413" t="str">
        <f t="shared" si="63"/>
        <v/>
      </c>
      <c r="T413" t="str">
        <f>IF(C413="","",InventoryTable[[#This Row],[Profit per Unit]]*InventoryTable[[#This Row],[Total Pieces]])</f>
        <v/>
      </c>
      <c r="U413" t="str">
        <f t="shared" si="64"/>
        <v/>
      </c>
      <c r="V413" t="str">
        <f>IF(C413="","",H413-InventoryTable[[#This Row],[Units Sold]])</f>
        <v/>
      </c>
      <c r="W413" t="str">
        <f t="shared" si="65"/>
        <v/>
      </c>
      <c r="X413" t="str">
        <f t="shared" si="66"/>
        <v/>
      </c>
      <c r="Y413" t="str">
        <f>IF(C413="","",IF(InventoryTable[[#This Row],[Stock Balance]]&lt;=0,"Sold Out",IF((InventoryTable[[#This Row],[Stock Balance]]/InventoryTable[[#This Row],[Total Pieces]])&lt;=0.25,"Low on Stocks","Available")))</f>
        <v/>
      </c>
    </row>
    <row r="414" spans="1:25" x14ac:dyDescent="0.3">
      <c r="A414" t="str">
        <f>IF(C414="","",_xlfn.CONCAT(LEFT(InventoryTable[[#This Row],[Category]],1),InventoryTable[[#This Row],[Product Pricing Type]],ROW()))</f>
        <v/>
      </c>
      <c r="H414" t="str">
        <f t="shared" si="57"/>
        <v/>
      </c>
      <c r="K414" t="str">
        <f t="shared" si="58"/>
        <v/>
      </c>
      <c r="N414" t="str">
        <f t="shared" si="59"/>
        <v/>
      </c>
      <c r="P414" t="str">
        <f t="shared" si="60"/>
        <v/>
      </c>
      <c r="Q414" s="4" t="str">
        <f t="shared" si="61"/>
        <v/>
      </c>
      <c r="R414" t="str">
        <f t="shared" si="62"/>
        <v/>
      </c>
      <c r="S414" t="str">
        <f t="shared" si="63"/>
        <v/>
      </c>
      <c r="T414" t="str">
        <f>IF(C414="","",InventoryTable[[#This Row],[Profit per Unit]]*InventoryTable[[#This Row],[Total Pieces]])</f>
        <v/>
      </c>
      <c r="U414" t="str">
        <f t="shared" si="64"/>
        <v/>
      </c>
      <c r="V414" t="str">
        <f>IF(C414="","",H414-InventoryTable[[#This Row],[Units Sold]])</f>
        <v/>
      </c>
      <c r="W414" t="str">
        <f t="shared" si="65"/>
        <v/>
      </c>
      <c r="X414" t="str">
        <f t="shared" si="66"/>
        <v/>
      </c>
      <c r="Y414" t="str">
        <f>IF(C414="","",IF(InventoryTable[[#This Row],[Stock Balance]]&lt;=0,"Sold Out",IF((InventoryTable[[#This Row],[Stock Balance]]/InventoryTable[[#This Row],[Total Pieces]])&lt;=0.25,"Low on Stocks","Available")))</f>
        <v/>
      </c>
    </row>
    <row r="415" spans="1:25" x14ac:dyDescent="0.3">
      <c r="A415" t="str">
        <f>IF(C415="","",_xlfn.CONCAT(LEFT(InventoryTable[[#This Row],[Category]],1),InventoryTable[[#This Row],[Product Pricing Type]],ROW()))</f>
        <v/>
      </c>
      <c r="H415" t="str">
        <f t="shared" si="57"/>
        <v/>
      </c>
      <c r="K415" t="str">
        <f t="shared" si="58"/>
        <v/>
      </c>
      <c r="N415" t="str">
        <f t="shared" si="59"/>
        <v/>
      </c>
      <c r="P415" t="str">
        <f t="shared" si="60"/>
        <v/>
      </c>
      <c r="Q415" s="4" t="str">
        <f t="shared" si="61"/>
        <v/>
      </c>
      <c r="R415" t="str">
        <f t="shared" si="62"/>
        <v/>
      </c>
      <c r="S415" t="str">
        <f t="shared" si="63"/>
        <v/>
      </c>
      <c r="T415" t="str">
        <f>IF(C415="","",InventoryTable[[#This Row],[Profit per Unit]]*InventoryTable[[#This Row],[Total Pieces]])</f>
        <v/>
      </c>
      <c r="U415" t="str">
        <f t="shared" si="64"/>
        <v/>
      </c>
      <c r="V415" t="str">
        <f>IF(C415="","",H415-InventoryTable[[#This Row],[Units Sold]])</f>
        <v/>
      </c>
      <c r="W415" t="str">
        <f t="shared" si="65"/>
        <v/>
      </c>
      <c r="X415" t="str">
        <f t="shared" si="66"/>
        <v/>
      </c>
      <c r="Y415" t="str">
        <f>IF(C415="","",IF(InventoryTable[[#This Row],[Stock Balance]]&lt;=0,"Sold Out",IF((InventoryTable[[#This Row],[Stock Balance]]/InventoryTable[[#This Row],[Total Pieces]])&lt;=0.25,"Low on Stocks","Available")))</f>
        <v/>
      </c>
    </row>
    <row r="416" spans="1:25" x14ac:dyDescent="0.3">
      <c r="A416" t="str">
        <f>IF(C416="","",_xlfn.CONCAT(LEFT(InventoryTable[[#This Row],[Category]],1),InventoryTable[[#This Row],[Product Pricing Type]],ROW()))</f>
        <v/>
      </c>
      <c r="H416" t="str">
        <f t="shared" si="57"/>
        <v/>
      </c>
      <c r="K416" t="str">
        <f t="shared" si="58"/>
        <v/>
      </c>
      <c r="N416" t="str">
        <f t="shared" si="59"/>
        <v/>
      </c>
      <c r="P416" t="str">
        <f t="shared" si="60"/>
        <v/>
      </c>
      <c r="Q416" s="4" t="str">
        <f t="shared" si="61"/>
        <v/>
      </c>
      <c r="R416" t="str">
        <f t="shared" si="62"/>
        <v/>
      </c>
      <c r="S416" t="str">
        <f t="shared" si="63"/>
        <v/>
      </c>
      <c r="T416" t="str">
        <f>IF(C416="","",InventoryTable[[#This Row],[Profit per Unit]]*InventoryTable[[#This Row],[Total Pieces]])</f>
        <v/>
      </c>
      <c r="U416" t="str">
        <f t="shared" si="64"/>
        <v/>
      </c>
      <c r="V416" t="str">
        <f>IF(C416="","",H416-InventoryTable[[#This Row],[Units Sold]])</f>
        <v/>
      </c>
      <c r="W416" t="str">
        <f t="shared" si="65"/>
        <v/>
      </c>
      <c r="X416" t="str">
        <f t="shared" si="66"/>
        <v/>
      </c>
      <c r="Y416" t="str">
        <f>IF(C416="","",IF(InventoryTable[[#This Row],[Stock Balance]]&lt;=0,"Sold Out",IF((InventoryTable[[#This Row],[Stock Balance]]/InventoryTable[[#This Row],[Total Pieces]])&lt;=0.25,"Low on Stocks","Available")))</f>
        <v/>
      </c>
    </row>
    <row r="417" spans="1:25" x14ac:dyDescent="0.3">
      <c r="A417" t="str">
        <f>IF(C417="","",_xlfn.CONCAT(LEFT(InventoryTable[[#This Row],[Category]],1),InventoryTable[[#This Row],[Product Pricing Type]],ROW()))</f>
        <v/>
      </c>
      <c r="H417" t="str">
        <f t="shared" ref="H417:H480" si="67">IF(C417="","",G417*F417)</f>
        <v/>
      </c>
      <c r="K417" t="str">
        <f t="shared" ref="K417:K480" si="68">IF(C417="","",IF(J417=1,I417/H417,I417*G417*F417))</f>
        <v/>
      </c>
      <c r="N417" t="str">
        <f t="shared" ref="N417:N480" si="69">IF(C417="","",IF(J417=1,K417+(K417*M417),I417+(I417*M417)))</f>
        <v/>
      </c>
      <c r="P417" t="str">
        <f t="shared" ref="P417:P480" si="70">IF(C417="","",N417+(N417*O417))</f>
        <v/>
      </c>
      <c r="Q417" s="4" t="str">
        <f t="shared" ref="Q417:Q480" si="71">IF(C417="","",ROUNDUP(P417,0))</f>
        <v/>
      </c>
      <c r="R417" t="str">
        <f t="shared" ref="R417:R480" si="72">IF(C417="","")</f>
        <v/>
      </c>
      <c r="S417" t="str">
        <f t="shared" ref="S417:S480" si="73">IF(C417="","",IF(COUNTIF(C417,"*Fixed*")&gt;0,(K417-R417)/H417,IF(J417=1,Q417-K417,Q417-I417)))</f>
        <v/>
      </c>
      <c r="T417" t="str">
        <f>IF(C417="","",InventoryTable[[#This Row],[Profit per Unit]]*InventoryTable[[#This Row],[Total Pieces]])</f>
        <v/>
      </c>
      <c r="U417" t="str">
        <f t="shared" si="64"/>
        <v/>
      </c>
      <c r="V417" t="str">
        <f>IF(C417="","",H417-InventoryTable[[#This Row],[Units Sold]])</f>
        <v/>
      </c>
      <c r="W417" t="str">
        <f t="shared" si="65"/>
        <v/>
      </c>
      <c r="X417" t="str">
        <f t="shared" si="66"/>
        <v/>
      </c>
      <c r="Y417" t="str">
        <f>IF(C417="","",IF(InventoryTable[[#This Row],[Stock Balance]]&lt;=0,"Sold Out",IF((InventoryTable[[#This Row],[Stock Balance]]/InventoryTable[[#This Row],[Total Pieces]])&lt;=0.25,"Low on Stocks","Available")))</f>
        <v/>
      </c>
    </row>
    <row r="418" spans="1:25" x14ac:dyDescent="0.3">
      <c r="A418" t="str">
        <f>IF(C418="","",_xlfn.CONCAT(LEFT(InventoryTable[[#This Row],[Category]],1),InventoryTable[[#This Row],[Product Pricing Type]],ROW()))</f>
        <v/>
      </c>
      <c r="H418" t="str">
        <f t="shared" si="67"/>
        <v/>
      </c>
      <c r="K418" t="str">
        <f t="shared" si="68"/>
        <v/>
      </c>
      <c r="N418" t="str">
        <f t="shared" si="69"/>
        <v/>
      </c>
      <c r="P418" t="str">
        <f t="shared" si="70"/>
        <v/>
      </c>
      <c r="Q418" s="4" t="str">
        <f t="shared" si="71"/>
        <v/>
      </c>
      <c r="R418" t="str">
        <f t="shared" si="72"/>
        <v/>
      </c>
      <c r="S418" t="str">
        <f t="shared" si="73"/>
        <v/>
      </c>
      <c r="T418" t="str">
        <f>IF(C418="","",InventoryTable[[#This Row],[Profit per Unit]]*InventoryTable[[#This Row],[Total Pieces]])</f>
        <v/>
      </c>
      <c r="U418" t="str">
        <f t="shared" si="64"/>
        <v/>
      </c>
      <c r="V418" t="str">
        <f>IF(C418="","",H418-InventoryTable[[#This Row],[Units Sold]])</f>
        <v/>
      </c>
      <c r="W418" t="str">
        <f t="shared" si="65"/>
        <v/>
      </c>
      <c r="X418" t="str">
        <f t="shared" si="66"/>
        <v/>
      </c>
      <c r="Y418" t="str">
        <f>IF(C418="","",IF(InventoryTable[[#This Row],[Stock Balance]]&lt;=0,"Sold Out",IF((InventoryTable[[#This Row],[Stock Balance]]/InventoryTable[[#This Row],[Total Pieces]])&lt;=0.25,"Low on Stocks","Available")))</f>
        <v/>
      </c>
    </row>
    <row r="419" spans="1:25" x14ac:dyDescent="0.3">
      <c r="A419" t="str">
        <f>IF(C419="","",_xlfn.CONCAT(LEFT(InventoryTable[[#This Row],[Category]],1),InventoryTable[[#This Row],[Product Pricing Type]],ROW()))</f>
        <v/>
      </c>
      <c r="H419" t="str">
        <f t="shared" si="67"/>
        <v/>
      </c>
      <c r="K419" t="str">
        <f t="shared" si="68"/>
        <v/>
      </c>
      <c r="N419" t="str">
        <f t="shared" si="69"/>
        <v/>
      </c>
      <c r="P419" t="str">
        <f t="shared" si="70"/>
        <v/>
      </c>
      <c r="Q419" s="4" t="str">
        <f t="shared" si="71"/>
        <v/>
      </c>
      <c r="R419" t="str">
        <f t="shared" si="72"/>
        <v/>
      </c>
      <c r="S419" t="str">
        <f t="shared" si="73"/>
        <v/>
      </c>
      <c r="T419" t="str">
        <f>IF(C419="","",InventoryTable[[#This Row],[Profit per Unit]]*InventoryTable[[#This Row],[Total Pieces]])</f>
        <v/>
      </c>
      <c r="U419" t="str">
        <f t="shared" si="64"/>
        <v/>
      </c>
      <c r="V419" t="str">
        <f>IF(C419="","",H419-InventoryTable[[#This Row],[Units Sold]])</f>
        <v/>
      </c>
      <c r="W419" t="str">
        <f t="shared" si="65"/>
        <v/>
      </c>
      <c r="X419" t="str">
        <f t="shared" si="66"/>
        <v/>
      </c>
      <c r="Y419" t="str">
        <f>IF(C419="","",IF(InventoryTable[[#This Row],[Stock Balance]]&lt;=0,"Sold Out",IF((InventoryTable[[#This Row],[Stock Balance]]/InventoryTable[[#This Row],[Total Pieces]])&lt;=0.25,"Low on Stocks","Available")))</f>
        <v/>
      </c>
    </row>
    <row r="420" spans="1:25" x14ac:dyDescent="0.3">
      <c r="A420" t="str">
        <f>IF(C420="","",_xlfn.CONCAT(LEFT(InventoryTable[[#This Row],[Category]],1),InventoryTable[[#This Row],[Product Pricing Type]],ROW()))</f>
        <v/>
      </c>
      <c r="H420" t="str">
        <f t="shared" si="67"/>
        <v/>
      </c>
      <c r="K420" t="str">
        <f t="shared" si="68"/>
        <v/>
      </c>
      <c r="N420" t="str">
        <f t="shared" si="69"/>
        <v/>
      </c>
      <c r="P420" t="str">
        <f t="shared" si="70"/>
        <v/>
      </c>
      <c r="Q420" s="4" t="str">
        <f t="shared" si="71"/>
        <v/>
      </c>
      <c r="R420" t="str">
        <f t="shared" si="72"/>
        <v/>
      </c>
      <c r="S420" t="str">
        <f t="shared" si="73"/>
        <v/>
      </c>
      <c r="T420" t="str">
        <f>IF(C420="","",InventoryTable[[#This Row],[Profit per Unit]]*InventoryTable[[#This Row],[Total Pieces]])</f>
        <v/>
      </c>
      <c r="U420" t="str">
        <f t="shared" si="64"/>
        <v/>
      </c>
      <c r="V420" t="str">
        <f>IF(C420="","",H420-InventoryTable[[#This Row],[Units Sold]])</f>
        <v/>
      </c>
      <c r="W420" t="str">
        <f t="shared" si="65"/>
        <v/>
      </c>
      <c r="X420" t="str">
        <f t="shared" si="66"/>
        <v/>
      </c>
      <c r="Y420" t="str">
        <f>IF(C420="","",IF(InventoryTable[[#This Row],[Stock Balance]]&lt;=0,"Sold Out",IF((InventoryTable[[#This Row],[Stock Balance]]/InventoryTable[[#This Row],[Total Pieces]])&lt;=0.25,"Low on Stocks","Available")))</f>
        <v/>
      </c>
    </row>
    <row r="421" spans="1:25" x14ac:dyDescent="0.3">
      <c r="A421" t="str">
        <f>IF(C421="","",_xlfn.CONCAT(LEFT(InventoryTable[[#This Row],[Category]],1),InventoryTable[[#This Row],[Product Pricing Type]],ROW()))</f>
        <v/>
      </c>
      <c r="H421" t="str">
        <f t="shared" si="67"/>
        <v/>
      </c>
      <c r="K421" t="str">
        <f t="shared" si="68"/>
        <v/>
      </c>
      <c r="N421" t="str">
        <f t="shared" si="69"/>
        <v/>
      </c>
      <c r="P421" t="str">
        <f t="shared" si="70"/>
        <v/>
      </c>
      <c r="Q421" s="4" t="str">
        <f t="shared" si="71"/>
        <v/>
      </c>
      <c r="R421" t="str">
        <f t="shared" si="72"/>
        <v/>
      </c>
      <c r="S421" t="str">
        <f t="shared" si="73"/>
        <v/>
      </c>
      <c r="T421" t="str">
        <f>IF(C421="","",InventoryTable[[#This Row],[Profit per Unit]]*InventoryTable[[#This Row],[Total Pieces]])</f>
        <v/>
      </c>
      <c r="U421" t="str">
        <f t="shared" si="64"/>
        <v/>
      </c>
      <c r="V421" t="str">
        <f>IF(C421="","",H421-InventoryTable[[#This Row],[Units Sold]])</f>
        <v/>
      </c>
      <c r="W421" t="str">
        <f t="shared" si="65"/>
        <v/>
      </c>
      <c r="X421" t="str">
        <f t="shared" si="66"/>
        <v/>
      </c>
      <c r="Y421" t="str">
        <f>IF(C421="","",IF(InventoryTable[[#This Row],[Stock Balance]]&lt;=0,"Sold Out",IF((InventoryTable[[#This Row],[Stock Balance]]/InventoryTable[[#This Row],[Total Pieces]])&lt;=0.25,"Low on Stocks","Available")))</f>
        <v/>
      </c>
    </row>
    <row r="422" spans="1:25" x14ac:dyDescent="0.3">
      <c r="A422" t="str">
        <f>IF(C422="","",_xlfn.CONCAT(LEFT(InventoryTable[[#This Row],[Category]],1),InventoryTable[[#This Row],[Product Pricing Type]],ROW()))</f>
        <v/>
      </c>
      <c r="H422" t="str">
        <f t="shared" si="67"/>
        <v/>
      </c>
      <c r="K422" t="str">
        <f t="shared" si="68"/>
        <v/>
      </c>
      <c r="N422" t="str">
        <f t="shared" si="69"/>
        <v/>
      </c>
      <c r="P422" t="str">
        <f t="shared" si="70"/>
        <v/>
      </c>
      <c r="Q422" s="4" t="str">
        <f t="shared" si="71"/>
        <v/>
      </c>
      <c r="R422" t="str">
        <f t="shared" si="72"/>
        <v/>
      </c>
      <c r="S422" t="str">
        <f t="shared" si="73"/>
        <v/>
      </c>
      <c r="T422" t="str">
        <f>IF(C422="","",InventoryTable[[#This Row],[Profit per Unit]]*InventoryTable[[#This Row],[Total Pieces]])</f>
        <v/>
      </c>
      <c r="U422" t="str">
        <f t="shared" si="64"/>
        <v/>
      </c>
      <c r="V422" t="str">
        <f>IF(C422="","",H422-InventoryTable[[#This Row],[Units Sold]])</f>
        <v/>
      </c>
      <c r="W422" t="str">
        <f t="shared" si="65"/>
        <v/>
      </c>
      <c r="X422" t="str">
        <f t="shared" si="66"/>
        <v/>
      </c>
      <c r="Y422" t="str">
        <f>IF(C422="","",IF(InventoryTable[[#This Row],[Stock Balance]]&lt;=0,"Sold Out",IF((InventoryTable[[#This Row],[Stock Balance]]/InventoryTable[[#This Row],[Total Pieces]])&lt;=0.25,"Low on Stocks","Available")))</f>
        <v/>
      </c>
    </row>
    <row r="423" spans="1:25" x14ac:dyDescent="0.3">
      <c r="A423" t="str">
        <f>IF(C423="","",_xlfn.CONCAT(LEFT(InventoryTable[[#This Row],[Category]],1),InventoryTable[[#This Row],[Product Pricing Type]],ROW()))</f>
        <v/>
      </c>
      <c r="H423" t="str">
        <f t="shared" si="67"/>
        <v/>
      </c>
      <c r="K423" t="str">
        <f t="shared" si="68"/>
        <v/>
      </c>
      <c r="N423" t="str">
        <f t="shared" si="69"/>
        <v/>
      </c>
      <c r="P423" t="str">
        <f t="shared" si="70"/>
        <v/>
      </c>
      <c r="Q423" s="4" t="str">
        <f t="shared" si="71"/>
        <v/>
      </c>
      <c r="R423" t="str">
        <f t="shared" si="72"/>
        <v/>
      </c>
      <c r="S423" t="str">
        <f t="shared" si="73"/>
        <v/>
      </c>
      <c r="T423" t="str">
        <f>IF(C423="","",InventoryTable[[#This Row],[Profit per Unit]]*InventoryTable[[#This Row],[Total Pieces]])</f>
        <v/>
      </c>
      <c r="U423" t="str">
        <f t="shared" si="64"/>
        <v/>
      </c>
      <c r="V423" t="str">
        <f>IF(C423="","",H423-InventoryTable[[#This Row],[Units Sold]])</f>
        <v/>
      </c>
      <c r="W423" t="str">
        <f t="shared" si="65"/>
        <v/>
      </c>
      <c r="X423" t="str">
        <f t="shared" si="66"/>
        <v/>
      </c>
      <c r="Y423" t="str">
        <f>IF(C423="","",IF(InventoryTable[[#This Row],[Stock Balance]]&lt;=0,"Sold Out",IF((InventoryTable[[#This Row],[Stock Balance]]/InventoryTable[[#This Row],[Total Pieces]])&lt;=0.25,"Low on Stocks","Available")))</f>
        <v/>
      </c>
    </row>
    <row r="424" spans="1:25" x14ac:dyDescent="0.3">
      <c r="A424" t="str">
        <f>IF(C424="","",_xlfn.CONCAT(LEFT(InventoryTable[[#This Row],[Category]],1),InventoryTable[[#This Row],[Product Pricing Type]],ROW()))</f>
        <v/>
      </c>
      <c r="H424" t="str">
        <f t="shared" si="67"/>
        <v/>
      </c>
      <c r="K424" t="str">
        <f t="shared" si="68"/>
        <v/>
      </c>
      <c r="N424" t="str">
        <f t="shared" si="69"/>
        <v/>
      </c>
      <c r="P424" t="str">
        <f t="shared" si="70"/>
        <v/>
      </c>
      <c r="Q424" s="4" t="str">
        <f t="shared" si="71"/>
        <v/>
      </c>
      <c r="R424" t="str">
        <f t="shared" si="72"/>
        <v/>
      </c>
      <c r="S424" t="str">
        <f t="shared" si="73"/>
        <v/>
      </c>
      <c r="T424" t="str">
        <f>IF(C424="","",InventoryTable[[#This Row],[Profit per Unit]]*InventoryTable[[#This Row],[Total Pieces]])</f>
        <v/>
      </c>
      <c r="U424" t="str">
        <f t="shared" si="64"/>
        <v/>
      </c>
      <c r="V424" t="str">
        <f>IF(C424="","",H424-InventoryTable[[#This Row],[Units Sold]])</f>
        <v/>
      </c>
      <c r="W424" t="str">
        <f t="shared" si="65"/>
        <v/>
      </c>
      <c r="X424" t="str">
        <f t="shared" si="66"/>
        <v/>
      </c>
      <c r="Y424" t="str">
        <f>IF(C424="","",IF(InventoryTable[[#This Row],[Stock Balance]]&lt;=0,"Sold Out",IF((InventoryTable[[#This Row],[Stock Balance]]/InventoryTable[[#This Row],[Total Pieces]])&lt;=0.25,"Low on Stocks","Available")))</f>
        <v/>
      </c>
    </row>
    <row r="425" spans="1:25" x14ac:dyDescent="0.3">
      <c r="A425" t="str">
        <f>IF(C425="","",_xlfn.CONCAT(LEFT(InventoryTable[[#This Row],[Category]],1),InventoryTable[[#This Row],[Product Pricing Type]],ROW()))</f>
        <v/>
      </c>
      <c r="H425" t="str">
        <f t="shared" si="67"/>
        <v/>
      </c>
      <c r="K425" t="str">
        <f t="shared" si="68"/>
        <v/>
      </c>
      <c r="N425" t="str">
        <f t="shared" si="69"/>
        <v/>
      </c>
      <c r="P425" t="str">
        <f t="shared" si="70"/>
        <v/>
      </c>
      <c r="Q425" s="4" t="str">
        <f t="shared" si="71"/>
        <v/>
      </c>
      <c r="R425" t="str">
        <f t="shared" si="72"/>
        <v/>
      </c>
      <c r="S425" t="str">
        <f t="shared" si="73"/>
        <v/>
      </c>
      <c r="T425" t="str">
        <f>IF(C425="","",InventoryTable[[#This Row],[Profit per Unit]]*InventoryTable[[#This Row],[Total Pieces]])</f>
        <v/>
      </c>
      <c r="U425" t="str">
        <f t="shared" si="64"/>
        <v/>
      </c>
      <c r="V425" t="str">
        <f>IF(C425="","",H425-InventoryTable[[#This Row],[Units Sold]])</f>
        <v/>
      </c>
      <c r="W425" t="str">
        <f t="shared" si="65"/>
        <v/>
      </c>
      <c r="X425" t="str">
        <f t="shared" si="66"/>
        <v/>
      </c>
      <c r="Y425" t="str">
        <f>IF(C425="","",IF(InventoryTable[[#This Row],[Stock Balance]]&lt;=0,"Sold Out",IF((InventoryTable[[#This Row],[Stock Balance]]/InventoryTable[[#This Row],[Total Pieces]])&lt;=0.25,"Low on Stocks","Available")))</f>
        <v/>
      </c>
    </row>
    <row r="426" spans="1:25" x14ac:dyDescent="0.3">
      <c r="A426" t="str">
        <f>IF(C426="","",_xlfn.CONCAT(LEFT(InventoryTable[[#This Row],[Category]],1),InventoryTable[[#This Row],[Product Pricing Type]],ROW()))</f>
        <v/>
      </c>
      <c r="H426" t="str">
        <f t="shared" si="67"/>
        <v/>
      </c>
      <c r="K426" t="str">
        <f t="shared" si="68"/>
        <v/>
      </c>
      <c r="N426" t="str">
        <f t="shared" si="69"/>
        <v/>
      </c>
      <c r="P426" t="str">
        <f t="shared" si="70"/>
        <v/>
      </c>
      <c r="Q426" s="4" t="str">
        <f t="shared" si="71"/>
        <v/>
      </c>
      <c r="R426" t="str">
        <f t="shared" si="72"/>
        <v/>
      </c>
      <c r="S426" t="str">
        <f t="shared" si="73"/>
        <v/>
      </c>
      <c r="T426" t="str">
        <f>IF(C426="","",InventoryTable[[#This Row],[Profit per Unit]]*InventoryTable[[#This Row],[Total Pieces]])</f>
        <v/>
      </c>
      <c r="U426" t="str">
        <f t="shared" si="64"/>
        <v/>
      </c>
      <c r="V426" t="str">
        <f>IF(C426="","",H426-InventoryTable[[#This Row],[Units Sold]])</f>
        <v/>
      </c>
      <c r="W426" t="str">
        <f t="shared" si="65"/>
        <v/>
      </c>
      <c r="X426" t="str">
        <f t="shared" si="66"/>
        <v/>
      </c>
      <c r="Y426" t="str">
        <f>IF(C426="","",IF(InventoryTable[[#This Row],[Stock Balance]]&lt;=0,"Sold Out",IF((InventoryTable[[#This Row],[Stock Balance]]/InventoryTable[[#This Row],[Total Pieces]])&lt;=0.25,"Low on Stocks","Available")))</f>
        <v/>
      </c>
    </row>
    <row r="427" spans="1:25" x14ac:dyDescent="0.3">
      <c r="A427" t="str">
        <f>IF(C427="","",_xlfn.CONCAT(LEFT(InventoryTable[[#This Row],[Category]],1),InventoryTable[[#This Row],[Product Pricing Type]],ROW()))</f>
        <v/>
      </c>
      <c r="H427" t="str">
        <f t="shared" si="67"/>
        <v/>
      </c>
      <c r="K427" t="str">
        <f t="shared" si="68"/>
        <v/>
      </c>
      <c r="N427" t="str">
        <f t="shared" si="69"/>
        <v/>
      </c>
      <c r="P427" t="str">
        <f t="shared" si="70"/>
        <v/>
      </c>
      <c r="Q427" s="4" t="str">
        <f t="shared" si="71"/>
        <v/>
      </c>
      <c r="R427" t="str">
        <f t="shared" si="72"/>
        <v/>
      </c>
      <c r="S427" t="str">
        <f t="shared" si="73"/>
        <v/>
      </c>
      <c r="T427" t="str">
        <f>IF(C427="","",InventoryTable[[#This Row],[Profit per Unit]]*InventoryTable[[#This Row],[Total Pieces]])</f>
        <v/>
      </c>
      <c r="U427" t="str">
        <f t="shared" si="64"/>
        <v/>
      </c>
      <c r="V427" t="str">
        <f>IF(C427="","",H427-InventoryTable[[#This Row],[Units Sold]])</f>
        <v/>
      </c>
      <c r="W427" t="str">
        <f t="shared" si="65"/>
        <v/>
      </c>
      <c r="X427" t="str">
        <f t="shared" si="66"/>
        <v/>
      </c>
      <c r="Y427" t="str">
        <f>IF(C427="","",IF(InventoryTable[[#This Row],[Stock Balance]]&lt;=0,"Sold Out",IF((InventoryTable[[#This Row],[Stock Balance]]/InventoryTable[[#This Row],[Total Pieces]])&lt;=0.25,"Low on Stocks","Available")))</f>
        <v/>
      </c>
    </row>
    <row r="428" spans="1:25" x14ac:dyDescent="0.3">
      <c r="A428" t="str">
        <f>IF(C428="","",_xlfn.CONCAT(LEFT(InventoryTable[[#This Row],[Category]],1),InventoryTable[[#This Row],[Product Pricing Type]],ROW()))</f>
        <v/>
      </c>
      <c r="H428" t="str">
        <f t="shared" si="67"/>
        <v/>
      </c>
      <c r="K428" t="str">
        <f t="shared" si="68"/>
        <v/>
      </c>
      <c r="N428" t="str">
        <f t="shared" si="69"/>
        <v/>
      </c>
      <c r="P428" t="str">
        <f t="shared" si="70"/>
        <v/>
      </c>
      <c r="Q428" s="4" t="str">
        <f t="shared" si="71"/>
        <v/>
      </c>
      <c r="R428" t="str">
        <f t="shared" si="72"/>
        <v/>
      </c>
      <c r="S428" t="str">
        <f t="shared" si="73"/>
        <v/>
      </c>
      <c r="T428" t="str">
        <f>IF(C428="","",InventoryTable[[#This Row],[Profit per Unit]]*InventoryTable[[#This Row],[Total Pieces]])</f>
        <v/>
      </c>
      <c r="U428" t="str">
        <f t="shared" si="64"/>
        <v/>
      </c>
      <c r="V428" t="str">
        <f>IF(C428="","",H428-InventoryTable[[#This Row],[Units Sold]])</f>
        <v/>
      </c>
      <c r="W428" t="str">
        <f t="shared" si="65"/>
        <v/>
      </c>
      <c r="X428" t="str">
        <f t="shared" si="66"/>
        <v/>
      </c>
      <c r="Y428" t="str">
        <f>IF(C428="","",IF(InventoryTable[[#This Row],[Stock Balance]]&lt;=0,"Sold Out",IF((InventoryTable[[#This Row],[Stock Balance]]/InventoryTable[[#This Row],[Total Pieces]])&lt;=0.25,"Low on Stocks","Available")))</f>
        <v/>
      </c>
    </row>
    <row r="429" spans="1:25" x14ac:dyDescent="0.3">
      <c r="A429" t="str">
        <f>IF(C429="","",_xlfn.CONCAT(LEFT(InventoryTable[[#This Row],[Category]],1),InventoryTable[[#This Row],[Product Pricing Type]],ROW()))</f>
        <v/>
      </c>
      <c r="H429" t="str">
        <f t="shared" si="67"/>
        <v/>
      </c>
      <c r="K429" t="str">
        <f t="shared" si="68"/>
        <v/>
      </c>
      <c r="N429" t="str">
        <f t="shared" si="69"/>
        <v/>
      </c>
      <c r="P429" t="str">
        <f t="shared" si="70"/>
        <v/>
      </c>
      <c r="Q429" s="4" t="str">
        <f t="shared" si="71"/>
        <v/>
      </c>
      <c r="R429" t="str">
        <f t="shared" si="72"/>
        <v/>
      </c>
      <c r="S429" t="str">
        <f t="shared" si="73"/>
        <v/>
      </c>
      <c r="T429" t="str">
        <f>IF(C429="","",InventoryTable[[#This Row],[Profit per Unit]]*InventoryTable[[#This Row],[Total Pieces]])</f>
        <v/>
      </c>
      <c r="U429" t="str">
        <f t="shared" si="64"/>
        <v/>
      </c>
      <c r="V429" t="str">
        <f>IF(C429="","",H429-InventoryTable[[#This Row],[Units Sold]])</f>
        <v/>
      </c>
      <c r="W429" t="str">
        <f t="shared" si="65"/>
        <v/>
      </c>
      <c r="X429" t="str">
        <f t="shared" si="66"/>
        <v/>
      </c>
      <c r="Y429" t="str">
        <f>IF(C429="","",IF(InventoryTable[[#This Row],[Stock Balance]]&lt;=0,"Sold Out",IF((InventoryTable[[#This Row],[Stock Balance]]/InventoryTable[[#This Row],[Total Pieces]])&lt;=0.25,"Low on Stocks","Available")))</f>
        <v/>
      </c>
    </row>
    <row r="430" spans="1:25" x14ac:dyDescent="0.3">
      <c r="A430" t="str">
        <f>IF(C430="","",_xlfn.CONCAT(LEFT(InventoryTable[[#This Row],[Category]],1),InventoryTable[[#This Row],[Product Pricing Type]],ROW()))</f>
        <v/>
      </c>
      <c r="H430" t="str">
        <f t="shared" si="67"/>
        <v/>
      </c>
      <c r="K430" t="str">
        <f t="shared" si="68"/>
        <v/>
      </c>
      <c r="N430" t="str">
        <f t="shared" si="69"/>
        <v/>
      </c>
      <c r="P430" t="str">
        <f t="shared" si="70"/>
        <v/>
      </c>
      <c r="Q430" s="4" t="str">
        <f t="shared" si="71"/>
        <v/>
      </c>
      <c r="R430" t="str">
        <f t="shared" si="72"/>
        <v/>
      </c>
      <c r="S430" t="str">
        <f t="shared" si="73"/>
        <v/>
      </c>
      <c r="T430" t="str">
        <f>IF(C430="","",InventoryTable[[#This Row],[Profit per Unit]]*InventoryTable[[#This Row],[Total Pieces]])</f>
        <v/>
      </c>
      <c r="U430" t="str">
        <f t="shared" si="64"/>
        <v/>
      </c>
      <c r="V430" t="str">
        <f>IF(C430="","",H430-InventoryTable[[#This Row],[Units Sold]])</f>
        <v/>
      </c>
      <c r="W430" t="str">
        <f t="shared" si="65"/>
        <v/>
      </c>
      <c r="X430" t="str">
        <f t="shared" si="66"/>
        <v/>
      </c>
      <c r="Y430" t="str">
        <f>IF(C430="","",IF(InventoryTable[[#This Row],[Stock Balance]]&lt;=0,"Sold Out",IF((InventoryTable[[#This Row],[Stock Balance]]/InventoryTable[[#This Row],[Total Pieces]])&lt;=0.25,"Low on Stocks","Available")))</f>
        <v/>
      </c>
    </row>
    <row r="431" spans="1:25" x14ac:dyDescent="0.3">
      <c r="A431" t="str">
        <f>IF(C431="","",_xlfn.CONCAT(LEFT(InventoryTable[[#This Row],[Category]],1),InventoryTable[[#This Row],[Product Pricing Type]],ROW()))</f>
        <v/>
      </c>
      <c r="H431" t="str">
        <f t="shared" si="67"/>
        <v/>
      </c>
      <c r="K431" t="str">
        <f t="shared" si="68"/>
        <v/>
      </c>
      <c r="N431" t="str">
        <f t="shared" si="69"/>
        <v/>
      </c>
      <c r="P431" t="str">
        <f t="shared" si="70"/>
        <v/>
      </c>
      <c r="Q431" s="4" t="str">
        <f t="shared" si="71"/>
        <v/>
      </c>
      <c r="R431" t="str">
        <f t="shared" si="72"/>
        <v/>
      </c>
      <c r="S431" t="str">
        <f t="shared" si="73"/>
        <v/>
      </c>
      <c r="T431" t="str">
        <f>IF(C431="","",InventoryTable[[#This Row],[Profit per Unit]]*InventoryTable[[#This Row],[Total Pieces]])</f>
        <v/>
      </c>
      <c r="U431" t="str">
        <f t="shared" si="64"/>
        <v/>
      </c>
      <c r="V431" t="str">
        <f>IF(C431="","",H431-InventoryTable[[#This Row],[Units Sold]])</f>
        <v/>
      </c>
      <c r="W431" t="str">
        <f t="shared" si="65"/>
        <v/>
      </c>
      <c r="X431" t="str">
        <f t="shared" si="66"/>
        <v/>
      </c>
      <c r="Y431" t="str">
        <f>IF(C431="","",IF(InventoryTable[[#This Row],[Stock Balance]]&lt;=0,"Sold Out",IF((InventoryTable[[#This Row],[Stock Balance]]/InventoryTable[[#This Row],[Total Pieces]])&lt;=0.25,"Low on Stocks","Available")))</f>
        <v/>
      </c>
    </row>
    <row r="432" spans="1:25" x14ac:dyDescent="0.3">
      <c r="A432" t="str">
        <f>IF(C432="","",_xlfn.CONCAT(LEFT(InventoryTable[[#This Row],[Category]],1),InventoryTable[[#This Row],[Product Pricing Type]],ROW()))</f>
        <v/>
      </c>
      <c r="H432" t="str">
        <f t="shared" si="67"/>
        <v/>
      </c>
      <c r="K432" t="str">
        <f t="shared" si="68"/>
        <v/>
      </c>
      <c r="N432" t="str">
        <f t="shared" si="69"/>
        <v/>
      </c>
      <c r="P432" t="str">
        <f t="shared" si="70"/>
        <v/>
      </c>
      <c r="Q432" s="4" t="str">
        <f t="shared" si="71"/>
        <v/>
      </c>
      <c r="R432" t="str">
        <f t="shared" si="72"/>
        <v/>
      </c>
      <c r="S432" t="str">
        <f t="shared" si="73"/>
        <v/>
      </c>
      <c r="T432" t="str">
        <f>IF(C432="","",InventoryTable[[#This Row],[Profit per Unit]]*InventoryTable[[#This Row],[Total Pieces]])</f>
        <v/>
      </c>
      <c r="U432" t="str">
        <f t="shared" si="64"/>
        <v/>
      </c>
      <c r="V432" t="str">
        <f>IF(C432="","",H432-InventoryTable[[#This Row],[Units Sold]])</f>
        <v/>
      </c>
      <c r="W432" t="str">
        <f t="shared" si="65"/>
        <v/>
      </c>
      <c r="X432" t="str">
        <f t="shared" si="66"/>
        <v/>
      </c>
      <c r="Y432" t="str">
        <f>IF(C432="","",IF(InventoryTable[[#This Row],[Stock Balance]]&lt;=0,"Sold Out",IF((InventoryTable[[#This Row],[Stock Balance]]/InventoryTable[[#This Row],[Total Pieces]])&lt;=0.25,"Low on Stocks","Available")))</f>
        <v/>
      </c>
    </row>
    <row r="433" spans="1:25" x14ac:dyDescent="0.3">
      <c r="A433" t="str">
        <f>IF(C433="","",_xlfn.CONCAT(LEFT(InventoryTable[[#This Row],[Category]],1),InventoryTable[[#This Row],[Product Pricing Type]],ROW()))</f>
        <v/>
      </c>
      <c r="H433" t="str">
        <f t="shared" si="67"/>
        <v/>
      </c>
      <c r="K433" t="str">
        <f t="shared" si="68"/>
        <v/>
      </c>
      <c r="N433" t="str">
        <f t="shared" si="69"/>
        <v/>
      </c>
      <c r="P433" t="str">
        <f t="shared" si="70"/>
        <v/>
      </c>
      <c r="Q433" s="4" t="str">
        <f t="shared" si="71"/>
        <v/>
      </c>
      <c r="R433" t="str">
        <f t="shared" si="72"/>
        <v/>
      </c>
      <c r="S433" t="str">
        <f t="shared" si="73"/>
        <v/>
      </c>
      <c r="T433" t="str">
        <f>IF(C433="","",InventoryTable[[#This Row],[Profit per Unit]]*InventoryTable[[#This Row],[Total Pieces]])</f>
        <v/>
      </c>
      <c r="U433" t="str">
        <f t="shared" si="64"/>
        <v/>
      </c>
      <c r="V433" t="str">
        <f>IF(C433="","",H433-InventoryTable[[#This Row],[Units Sold]])</f>
        <v/>
      </c>
      <c r="W433" t="str">
        <f t="shared" si="65"/>
        <v/>
      </c>
      <c r="X433" t="str">
        <f t="shared" si="66"/>
        <v/>
      </c>
      <c r="Y433" t="str">
        <f>IF(C433="","",IF(InventoryTable[[#This Row],[Stock Balance]]&lt;=0,"Sold Out",IF((InventoryTable[[#This Row],[Stock Balance]]/InventoryTable[[#This Row],[Total Pieces]])&lt;=0.25,"Low on Stocks","Available")))</f>
        <v/>
      </c>
    </row>
    <row r="434" spans="1:25" x14ac:dyDescent="0.3">
      <c r="A434" t="str">
        <f>IF(C434="","",_xlfn.CONCAT(LEFT(InventoryTable[[#This Row],[Category]],1),InventoryTable[[#This Row],[Product Pricing Type]],ROW()))</f>
        <v/>
      </c>
      <c r="H434" t="str">
        <f t="shared" si="67"/>
        <v/>
      </c>
      <c r="K434" t="str">
        <f t="shared" si="68"/>
        <v/>
      </c>
      <c r="N434" t="str">
        <f t="shared" si="69"/>
        <v/>
      </c>
      <c r="P434" t="str">
        <f t="shared" si="70"/>
        <v/>
      </c>
      <c r="Q434" s="4" t="str">
        <f t="shared" si="71"/>
        <v/>
      </c>
      <c r="R434" t="str">
        <f t="shared" si="72"/>
        <v/>
      </c>
      <c r="S434" t="str">
        <f t="shared" si="73"/>
        <v/>
      </c>
      <c r="T434" t="str">
        <f>IF(C434="","",InventoryTable[[#This Row],[Profit per Unit]]*InventoryTable[[#This Row],[Total Pieces]])</f>
        <v/>
      </c>
      <c r="U434" t="str">
        <f t="shared" si="64"/>
        <v/>
      </c>
      <c r="V434" t="str">
        <f>IF(C434="","",H434-InventoryTable[[#This Row],[Units Sold]])</f>
        <v/>
      </c>
      <c r="W434" t="str">
        <f t="shared" si="65"/>
        <v/>
      </c>
      <c r="X434" t="str">
        <f t="shared" si="66"/>
        <v/>
      </c>
      <c r="Y434" t="str">
        <f>IF(C434="","",IF(InventoryTable[[#This Row],[Stock Balance]]&lt;=0,"Sold Out",IF((InventoryTable[[#This Row],[Stock Balance]]/InventoryTable[[#This Row],[Total Pieces]])&lt;=0.25,"Low on Stocks","Available")))</f>
        <v/>
      </c>
    </row>
    <row r="435" spans="1:25" x14ac:dyDescent="0.3">
      <c r="A435" t="str">
        <f>IF(C435="","",_xlfn.CONCAT(LEFT(InventoryTable[[#This Row],[Category]],1),InventoryTable[[#This Row],[Product Pricing Type]],ROW()))</f>
        <v/>
      </c>
      <c r="H435" t="str">
        <f t="shared" si="67"/>
        <v/>
      </c>
      <c r="K435" t="str">
        <f t="shared" si="68"/>
        <v/>
      </c>
      <c r="N435" t="str">
        <f t="shared" si="69"/>
        <v/>
      </c>
      <c r="P435" t="str">
        <f t="shared" si="70"/>
        <v/>
      </c>
      <c r="Q435" s="4" t="str">
        <f t="shared" si="71"/>
        <v/>
      </c>
      <c r="R435" t="str">
        <f t="shared" si="72"/>
        <v/>
      </c>
      <c r="S435" t="str">
        <f t="shared" si="73"/>
        <v/>
      </c>
      <c r="T435" t="str">
        <f>IF(C435="","",InventoryTable[[#This Row],[Profit per Unit]]*InventoryTable[[#This Row],[Total Pieces]])</f>
        <v/>
      </c>
      <c r="U435" t="str">
        <f t="shared" si="64"/>
        <v/>
      </c>
      <c r="V435" t="str">
        <f>IF(C435="","",H435-InventoryTable[[#This Row],[Units Sold]])</f>
        <v/>
      </c>
      <c r="W435" t="str">
        <f t="shared" si="65"/>
        <v/>
      </c>
      <c r="X435" t="str">
        <f t="shared" si="66"/>
        <v/>
      </c>
      <c r="Y435" t="str">
        <f>IF(C435="","",IF(InventoryTable[[#This Row],[Stock Balance]]&lt;=0,"Sold Out",IF((InventoryTable[[#This Row],[Stock Balance]]/InventoryTable[[#This Row],[Total Pieces]])&lt;=0.25,"Low on Stocks","Available")))</f>
        <v/>
      </c>
    </row>
    <row r="436" spans="1:25" x14ac:dyDescent="0.3">
      <c r="A436" t="str">
        <f>IF(C436="","",_xlfn.CONCAT(LEFT(InventoryTable[[#This Row],[Category]],1),InventoryTable[[#This Row],[Product Pricing Type]],ROW()))</f>
        <v/>
      </c>
      <c r="H436" t="str">
        <f t="shared" si="67"/>
        <v/>
      </c>
      <c r="K436" t="str">
        <f t="shared" si="68"/>
        <v/>
      </c>
      <c r="N436" t="str">
        <f t="shared" si="69"/>
        <v/>
      </c>
      <c r="P436" t="str">
        <f t="shared" si="70"/>
        <v/>
      </c>
      <c r="Q436" s="4" t="str">
        <f t="shared" si="71"/>
        <v/>
      </c>
      <c r="R436" t="str">
        <f t="shared" si="72"/>
        <v/>
      </c>
      <c r="S436" t="str">
        <f t="shared" si="73"/>
        <v/>
      </c>
      <c r="T436" t="str">
        <f>IF(C436="","",InventoryTable[[#This Row],[Profit per Unit]]*InventoryTable[[#This Row],[Total Pieces]])</f>
        <v/>
      </c>
      <c r="U436" t="str">
        <f t="shared" si="64"/>
        <v/>
      </c>
      <c r="V436" t="str">
        <f>IF(C436="","",H436-InventoryTable[[#This Row],[Units Sold]])</f>
        <v/>
      </c>
      <c r="W436" t="str">
        <f t="shared" si="65"/>
        <v/>
      </c>
      <c r="X436" t="str">
        <f t="shared" si="66"/>
        <v/>
      </c>
      <c r="Y436" t="str">
        <f>IF(C436="","",IF(InventoryTable[[#This Row],[Stock Balance]]&lt;=0,"Sold Out",IF((InventoryTable[[#This Row],[Stock Balance]]/InventoryTable[[#This Row],[Total Pieces]])&lt;=0.25,"Low on Stocks","Available")))</f>
        <v/>
      </c>
    </row>
    <row r="437" spans="1:25" x14ac:dyDescent="0.3">
      <c r="A437" t="str">
        <f>IF(C437="","",_xlfn.CONCAT(LEFT(InventoryTable[[#This Row],[Category]],1),InventoryTable[[#This Row],[Product Pricing Type]],ROW()))</f>
        <v/>
      </c>
      <c r="H437" t="str">
        <f t="shared" si="67"/>
        <v/>
      </c>
      <c r="K437" t="str">
        <f t="shared" si="68"/>
        <v/>
      </c>
      <c r="N437" t="str">
        <f t="shared" si="69"/>
        <v/>
      </c>
      <c r="P437" t="str">
        <f t="shared" si="70"/>
        <v/>
      </c>
      <c r="Q437" s="4" t="str">
        <f t="shared" si="71"/>
        <v/>
      </c>
      <c r="R437" t="str">
        <f t="shared" si="72"/>
        <v/>
      </c>
      <c r="S437" t="str">
        <f t="shared" si="73"/>
        <v/>
      </c>
      <c r="T437" t="str">
        <f>IF(C437="","",InventoryTable[[#This Row],[Profit per Unit]]*InventoryTable[[#This Row],[Total Pieces]])</f>
        <v/>
      </c>
      <c r="U437" t="str">
        <f t="shared" si="64"/>
        <v/>
      </c>
      <c r="V437" t="str">
        <f>IF(C437="","",H437-InventoryTable[[#This Row],[Units Sold]])</f>
        <v/>
      </c>
      <c r="W437" t="str">
        <f t="shared" si="65"/>
        <v/>
      </c>
      <c r="X437" t="str">
        <f t="shared" si="66"/>
        <v/>
      </c>
      <c r="Y437" t="str">
        <f>IF(C437="","",IF(InventoryTable[[#This Row],[Stock Balance]]&lt;=0,"Sold Out",IF((InventoryTable[[#This Row],[Stock Balance]]/InventoryTable[[#This Row],[Total Pieces]])&lt;=0.25,"Low on Stocks","Available")))</f>
        <v/>
      </c>
    </row>
    <row r="438" spans="1:25" x14ac:dyDescent="0.3">
      <c r="A438" t="str">
        <f>IF(C438="","",_xlfn.CONCAT(LEFT(InventoryTable[[#This Row],[Category]],1),InventoryTable[[#This Row],[Product Pricing Type]],ROW()))</f>
        <v/>
      </c>
      <c r="H438" t="str">
        <f t="shared" si="67"/>
        <v/>
      </c>
      <c r="K438" t="str">
        <f t="shared" si="68"/>
        <v/>
      </c>
      <c r="N438" t="str">
        <f t="shared" si="69"/>
        <v/>
      </c>
      <c r="P438" t="str">
        <f t="shared" si="70"/>
        <v/>
      </c>
      <c r="Q438" s="4" t="str">
        <f t="shared" si="71"/>
        <v/>
      </c>
      <c r="R438" t="str">
        <f t="shared" si="72"/>
        <v/>
      </c>
      <c r="S438" t="str">
        <f t="shared" si="73"/>
        <v/>
      </c>
      <c r="T438" t="str">
        <f>IF(C438="","",InventoryTable[[#This Row],[Profit per Unit]]*InventoryTable[[#This Row],[Total Pieces]])</f>
        <v/>
      </c>
      <c r="U438" t="str">
        <f t="shared" si="64"/>
        <v/>
      </c>
      <c r="V438" t="str">
        <f>IF(C438="","",H438-InventoryTable[[#This Row],[Units Sold]])</f>
        <v/>
      </c>
      <c r="W438" t="str">
        <f t="shared" si="65"/>
        <v/>
      </c>
      <c r="X438" t="str">
        <f t="shared" si="66"/>
        <v/>
      </c>
      <c r="Y438" t="str">
        <f>IF(C438="","",IF(InventoryTable[[#This Row],[Stock Balance]]&lt;=0,"Sold Out",IF((InventoryTable[[#This Row],[Stock Balance]]/InventoryTable[[#This Row],[Total Pieces]])&lt;=0.25,"Low on Stocks","Available")))</f>
        <v/>
      </c>
    </row>
    <row r="439" spans="1:25" x14ac:dyDescent="0.3">
      <c r="A439" t="str">
        <f>IF(C439="","",_xlfn.CONCAT(LEFT(InventoryTable[[#This Row],[Category]],1),InventoryTable[[#This Row],[Product Pricing Type]],ROW()))</f>
        <v/>
      </c>
      <c r="H439" t="str">
        <f t="shared" si="67"/>
        <v/>
      </c>
      <c r="K439" t="str">
        <f t="shared" si="68"/>
        <v/>
      </c>
      <c r="N439" t="str">
        <f t="shared" si="69"/>
        <v/>
      </c>
      <c r="P439" t="str">
        <f t="shared" si="70"/>
        <v/>
      </c>
      <c r="Q439" s="4" t="str">
        <f t="shared" si="71"/>
        <v/>
      </c>
      <c r="R439" t="str">
        <f t="shared" si="72"/>
        <v/>
      </c>
      <c r="S439" t="str">
        <f t="shared" si="73"/>
        <v/>
      </c>
      <c r="T439" t="str">
        <f>IF(C439="","",InventoryTable[[#This Row],[Profit per Unit]]*InventoryTable[[#This Row],[Total Pieces]])</f>
        <v/>
      </c>
      <c r="U439" t="str">
        <f t="shared" si="64"/>
        <v/>
      </c>
      <c r="V439" t="str">
        <f>IF(C439="","",H439-InventoryTable[[#This Row],[Units Sold]])</f>
        <v/>
      </c>
      <c r="W439" t="str">
        <f t="shared" si="65"/>
        <v/>
      </c>
      <c r="X439" t="str">
        <f t="shared" si="66"/>
        <v/>
      </c>
      <c r="Y439" t="str">
        <f>IF(C439="","",IF(InventoryTable[[#This Row],[Stock Balance]]&lt;=0,"Sold Out",IF((InventoryTable[[#This Row],[Stock Balance]]/InventoryTable[[#This Row],[Total Pieces]])&lt;=0.25,"Low on Stocks","Available")))</f>
        <v/>
      </c>
    </row>
    <row r="440" spans="1:25" x14ac:dyDescent="0.3">
      <c r="A440" t="str">
        <f>IF(C440="","",_xlfn.CONCAT(LEFT(InventoryTable[[#This Row],[Category]],1),InventoryTable[[#This Row],[Product Pricing Type]],ROW()))</f>
        <v/>
      </c>
      <c r="H440" t="str">
        <f t="shared" si="67"/>
        <v/>
      </c>
      <c r="K440" t="str">
        <f t="shared" si="68"/>
        <v/>
      </c>
      <c r="N440" t="str">
        <f t="shared" si="69"/>
        <v/>
      </c>
      <c r="P440" t="str">
        <f t="shared" si="70"/>
        <v/>
      </c>
      <c r="Q440" s="4" t="str">
        <f t="shared" si="71"/>
        <v/>
      </c>
      <c r="R440" t="str">
        <f t="shared" si="72"/>
        <v/>
      </c>
      <c r="S440" t="str">
        <f t="shared" si="73"/>
        <v/>
      </c>
      <c r="T440" t="str">
        <f>IF(C440="","",InventoryTable[[#This Row],[Profit per Unit]]*InventoryTable[[#This Row],[Total Pieces]])</f>
        <v/>
      </c>
      <c r="U440" t="str">
        <f t="shared" si="64"/>
        <v/>
      </c>
      <c r="V440" t="str">
        <f>IF(C440="","",H440-InventoryTable[[#This Row],[Units Sold]])</f>
        <v/>
      </c>
      <c r="W440" t="str">
        <f t="shared" si="65"/>
        <v/>
      </c>
      <c r="X440" t="str">
        <f t="shared" si="66"/>
        <v/>
      </c>
      <c r="Y440" t="str">
        <f>IF(C440="","",IF(InventoryTable[[#This Row],[Stock Balance]]&lt;=0,"Sold Out",IF((InventoryTable[[#This Row],[Stock Balance]]/InventoryTable[[#This Row],[Total Pieces]])&lt;=0.25,"Low on Stocks","Available")))</f>
        <v/>
      </c>
    </row>
    <row r="441" spans="1:25" x14ac:dyDescent="0.3">
      <c r="A441" t="str">
        <f>IF(C441="","",_xlfn.CONCAT(LEFT(InventoryTable[[#This Row],[Category]],1),InventoryTable[[#This Row],[Product Pricing Type]],ROW()))</f>
        <v/>
      </c>
      <c r="H441" t="str">
        <f t="shared" si="67"/>
        <v/>
      </c>
      <c r="K441" t="str">
        <f t="shared" si="68"/>
        <v/>
      </c>
      <c r="N441" t="str">
        <f t="shared" si="69"/>
        <v/>
      </c>
      <c r="P441" t="str">
        <f t="shared" si="70"/>
        <v/>
      </c>
      <c r="Q441" s="4" t="str">
        <f t="shared" si="71"/>
        <v/>
      </c>
      <c r="R441" t="str">
        <f t="shared" si="72"/>
        <v/>
      </c>
      <c r="S441" t="str">
        <f t="shared" si="73"/>
        <v/>
      </c>
      <c r="T441" t="str">
        <f>IF(C441="","",InventoryTable[[#This Row],[Profit per Unit]]*InventoryTable[[#This Row],[Total Pieces]])</f>
        <v/>
      </c>
      <c r="U441" t="str">
        <f t="shared" si="64"/>
        <v/>
      </c>
      <c r="V441" t="str">
        <f>IF(C441="","",H441-InventoryTable[[#This Row],[Units Sold]])</f>
        <v/>
      </c>
      <c r="W441" t="str">
        <f t="shared" si="65"/>
        <v/>
      </c>
      <c r="X441" t="str">
        <f t="shared" si="66"/>
        <v/>
      </c>
      <c r="Y441" t="str">
        <f>IF(C441="","",IF(InventoryTable[[#This Row],[Stock Balance]]&lt;=0,"Sold Out",IF((InventoryTable[[#This Row],[Stock Balance]]/InventoryTable[[#This Row],[Total Pieces]])&lt;=0.25,"Low on Stocks","Available")))</f>
        <v/>
      </c>
    </row>
    <row r="442" spans="1:25" x14ac:dyDescent="0.3">
      <c r="A442" t="str">
        <f>IF(C442="","",_xlfn.CONCAT(LEFT(InventoryTable[[#This Row],[Category]],1),InventoryTable[[#This Row],[Product Pricing Type]],ROW()))</f>
        <v/>
      </c>
      <c r="H442" t="str">
        <f t="shared" si="67"/>
        <v/>
      </c>
      <c r="K442" t="str">
        <f t="shared" si="68"/>
        <v/>
      </c>
      <c r="N442" t="str">
        <f t="shared" si="69"/>
        <v/>
      </c>
      <c r="P442" t="str">
        <f t="shared" si="70"/>
        <v/>
      </c>
      <c r="Q442" s="4" t="str">
        <f t="shared" si="71"/>
        <v/>
      </c>
      <c r="R442" t="str">
        <f t="shared" si="72"/>
        <v/>
      </c>
      <c r="S442" t="str">
        <f t="shared" si="73"/>
        <v/>
      </c>
      <c r="T442" t="str">
        <f>IF(C442="","",InventoryTable[[#This Row],[Profit per Unit]]*InventoryTable[[#This Row],[Total Pieces]])</f>
        <v/>
      </c>
      <c r="U442" t="str">
        <f t="shared" si="64"/>
        <v/>
      </c>
      <c r="V442" t="str">
        <f>IF(C442="","",H442-InventoryTable[[#This Row],[Units Sold]])</f>
        <v/>
      </c>
      <c r="W442" t="str">
        <f t="shared" si="65"/>
        <v/>
      </c>
      <c r="X442" t="str">
        <f t="shared" si="66"/>
        <v/>
      </c>
      <c r="Y442" t="str">
        <f>IF(C442="","",IF(InventoryTable[[#This Row],[Stock Balance]]&lt;=0,"Sold Out",IF((InventoryTable[[#This Row],[Stock Balance]]/InventoryTable[[#This Row],[Total Pieces]])&lt;=0.25,"Low on Stocks","Available")))</f>
        <v/>
      </c>
    </row>
    <row r="443" spans="1:25" x14ac:dyDescent="0.3">
      <c r="A443" t="str">
        <f>IF(C443="","",_xlfn.CONCAT(LEFT(InventoryTable[[#This Row],[Category]],1),InventoryTable[[#This Row],[Product Pricing Type]],ROW()))</f>
        <v/>
      </c>
      <c r="H443" t="str">
        <f t="shared" si="67"/>
        <v/>
      </c>
      <c r="K443" t="str">
        <f t="shared" si="68"/>
        <v/>
      </c>
      <c r="N443" t="str">
        <f t="shared" si="69"/>
        <v/>
      </c>
      <c r="P443" t="str">
        <f t="shared" si="70"/>
        <v/>
      </c>
      <c r="Q443" s="4" t="str">
        <f t="shared" si="71"/>
        <v/>
      </c>
      <c r="R443" t="str">
        <f t="shared" si="72"/>
        <v/>
      </c>
      <c r="S443" t="str">
        <f t="shared" si="73"/>
        <v/>
      </c>
      <c r="T443" t="str">
        <f>IF(C443="","",InventoryTable[[#This Row],[Profit per Unit]]*InventoryTable[[#This Row],[Total Pieces]])</f>
        <v/>
      </c>
      <c r="U443" t="str">
        <f t="shared" si="64"/>
        <v/>
      </c>
      <c r="V443" t="str">
        <f>IF(C443="","",H443-InventoryTable[[#This Row],[Units Sold]])</f>
        <v/>
      </c>
      <c r="W443" t="str">
        <f t="shared" si="65"/>
        <v/>
      </c>
      <c r="X443" t="str">
        <f t="shared" si="66"/>
        <v/>
      </c>
      <c r="Y443" t="str">
        <f>IF(C443="","",IF(InventoryTable[[#This Row],[Stock Balance]]&lt;=0,"Sold Out",IF((InventoryTable[[#This Row],[Stock Balance]]/InventoryTable[[#This Row],[Total Pieces]])&lt;=0.25,"Low on Stocks","Available")))</f>
        <v/>
      </c>
    </row>
    <row r="444" spans="1:25" x14ac:dyDescent="0.3">
      <c r="A444" t="str">
        <f>IF(C444="","",_xlfn.CONCAT(LEFT(InventoryTable[[#This Row],[Category]],1),InventoryTable[[#This Row],[Product Pricing Type]],ROW()))</f>
        <v/>
      </c>
      <c r="H444" t="str">
        <f t="shared" si="67"/>
        <v/>
      </c>
      <c r="K444" t="str">
        <f t="shared" si="68"/>
        <v/>
      </c>
      <c r="N444" t="str">
        <f t="shared" si="69"/>
        <v/>
      </c>
      <c r="P444" t="str">
        <f t="shared" si="70"/>
        <v/>
      </c>
      <c r="Q444" s="4" t="str">
        <f t="shared" si="71"/>
        <v/>
      </c>
      <c r="R444" t="str">
        <f t="shared" si="72"/>
        <v/>
      </c>
      <c r="S444" t="str">
        <f t="shared" si="73"/>
        <v/>
      </c>
      <c r="T444" t="str">
        <f>IF(C444="","",InventoryTable[[#This Row],[Profit per Unit]]*InventoryTable[[#This Row],[Total Pieces]])</f>
        <v/>
      </c>
      <c r="U444" t="str">
        <f t="shared" si="64"/>
        <v/>
      </c>
      <c r="V444" t="str">
        <f>IF(C444="","",H444-InventoryTable[[#This Row],[Units Sold]])</f>
        <v/>
      </c>
      <c r="W444" t="str">
        <f t="shared" si="65"/>
        <v/>
      </c>
      <c r="X444" t="str">
        <f t="shared" si="66"/>
        <v/>
      </c>
      <c r="Y444" t="str">
        <f>IF(C444="","",IF(InventoryTable[[#This Row],[Stock Balance]]&lt;=0,"Sold Out",IF((InventoryTable[[#This Row],[Stock Balance]]/InventoryTable[[#This Row],[Total Pieces]])&lt;=0.25,"Low on Stocks","Available")))</f>
        <v/>
      </c>
    </row>
    <row r="445" spans="1:25" x14ac:dyDescent="0.3">
      <c r="A445" t="str">
        <f>IF(C445="","",_xlfn.CONCAT(LEFT(InventoryTable[[#This Row],[Category]],1),InventoryTable[[#This Row],[Product Pricing Type]],ROW()))</f>
        <v/>
      </c>
      <c r="H445" t="str">
        <f t="shared" si="67"/>
        <v/>
      </c>
      <c r="K445" t="str">
        <f t="shared" si="68"/>
        <v/>
      </c>
      <c r="N445" t="str">
        <f t="shared" si="69"/>
        <v/>
      </c>
      <c r="P445" t="str">
        <f t="shared" si="70"/>
        <v/>
      </c>
      <c r="Q445" s="4" t="str">
        <f t="shared" si="71"/>
        <v/>
      </c>
      <c r="R445" t="str">
        <f t="shared" si="72"/>
        <v/>
      </c>
      <c r="S445" t="str">
        <f t="shared" si="73"/>
        <v/>
      </c>
      <c r="T445" t="str">
        <f>IF(C445="","",InventoryTable[[#This Row],[Profit per Unit]]*InventoryTable[[#This Row],[Total Pieces]])</f>
        <v/>
      </c>
      <c r="U445" t="str">
        <f t="shared" ref="U445:U508" si="74">IF(C445="","",0)</f>
        <v/>
      </c>
      <c r="V445" t="str">
        <f>IF(C445="","",H445-InventoryTable[[#This Row],[Units Sold]])</f>
        <v/>
      </c>
      <c r="W445" t="str">
        <f t="shared" ref="W445:W508" si="75">IF(C445="","",Q445*U445)</f>
        <v/>
      </c>
      <c r="X445" t="str">
        <f t="shared" ref="X445:X508" si="76">IF(C445="","",S445*U445)</f>
        <v/>
      </c>
      <c r="Y445" t="str">
        <f>IF(C445="","",IF(InventoryTable[[#This Row],[Stock Balance]]&lt;=0,"Sold Out",IF((InventoryTable[[#This Row],[Stock Balance]]/InventoryTable[[#This Row],[Total Pieces]])&lt;=0.25,"Low on Stocks","Available")))</f>
        <v/>
      </c>
    </row>
    <row r="446" spans="1:25" x14ac:dyDescent="0.3">
      <c r="A446" t="str">
        <f>IF(C446="","",_xlfn.CONCAT(LEFT(InventoryTable[[#This Row],[Category]],1),InventoryTable[[#This Row],[Product Pricing Type]],ROW()))</f>
        <v/>
      </c>
      <c r="H446" t="str">
        <f t="shared" si="67"/>
        <v/>
      </c>
      <c r="K446" t="str">
        <f t="shared" si="68"/>
        <v/>
      </c>
      <c r="N446" t="str">
        <f t="shared" si="69"/>
        <v/>
      </c>
      <c r="P446" t="str">
        <f t="shared" si="70"/>
        <v/>
      </c>
      <c r="Q446" s="4" t="str">
        <f t="shared" si="71"/>
        <v/>
      </c>
      <c r="R446" t="str">
        <f t="shared" si="72"/>
        <v/>
      </c>
      <c r="S446" t="str">
        <f t="shared" si="73"/>
        <v/>
      </c>
      <c r="T446" t="str">
        <f>IF(C446="","",InventoryTable[[#This Row],[Profit per Unit]]*InventoryTable[[#This Row],[Total Pieces]])</f>
        <v/>
      </c>
      <c r="U446" t="str">
        <f t="shared" si="74"/>
        <v/>
      </c>
      <c r="V446" t="str">
        <f>IF(C446="","",H446-InventoryTable[[#This Row],[Units Sold]])</f>
        <v/>
      </c>
      <c r="W446" t="str">
        <f t="shared" si="75"/>
        <v/>
      </c>
      <c r="X446" t="str">
        <f t="shared" si="76"/>
        <v/>
      </c>
      <c r="Y446" t="str">
        <f>IF(C446="","",IF(InventoryTable[[#This Row],[Stock Balance]]&lt;=0,"Sold Out",IF((InventoryTable[[#This Row],[Stock Balance]]/InventoryTable[[#This Row],[Total Pieces]])&lt;=0.25,"Low on Stocks","Available")))</f>
        <v/>
      </c>
    </row>
    <row r="447" spans="1:25" x14ac:dyDescent="0.3">
      <c r="A447" t="str">
        <f>IF(C447="","",_xlfn.CONCAT(LEFT(InventoryTable[[#This Row],[Category]],1),InventoryTable[[#This Row],[Product Pricing Type]],ROW()))</f>
        <v/>
      </c>
      <c r="H447" t="str">
        <f t="shared" si="67"/>
        <v/>
      </c>
      <c r="K447" t="str">
        <f t="shared" si="68"/>
        <v/>
      </c>
      <c r="N447" t="str">
        <f t="shared" si="69"/>
        <v/>
      </c>
      <c r="P447" t="str">
        <f t="shared" si="70"/>
        <v/>
      </c>
      <c r="Q447" s="4" t="str">
        <f t="shared" si="71"/>
        <v/>
      </c>
      <c r="R447" t="str">
        <f t="shared" si="72"/>
        <v/>
      </c>
      <c r="S447" t="str">
        <f t="shared" si="73"/>
        <v/>
      </c>
      <c r="T447" t="str">
        <f>IF(C447="","",InventoryTable[[#This Row],[Profit per Unit]]*InventoryTable[[#This Row],[Total Pieces]])</f>
        <v/>
      </c>
      <c r="U447" t="str">
        <f t="shared" si="74"/>
        <v/>
      </c>
      <c r="V447" t="str">
        <f>IF(C447="","",H447-InventoryTable[[#This Row],[Units Sold]])</f>
        <v/>
      </c>
      <c r="W447" t="str">
        <f t="shared" si="75"/>
        <v/>
      </c>
      <c r="X447" t="str">
        <f t="shared" si="76"/>
        <v/>
      </c>
      <c r="Y447" t="str">
        <f>IF(C447="","",IF(InventoryTable[[#This Row],[Stock Balance]]&lt;=0,"Sold Out",IF((InventoryTable[[#This Row],[Stock Balance]]/InventoryTable[[#This Row],[Total Pieces]])&lt;=0.25,"Low on Stocks","Available")))</f>
        <v/>
      </c>
    </row>
    <row r="448" spans="1:25" x14ac:dyDescent="0.3">
      <c r="A448" t="str">
        <f>IF(C448="","",_xlfn.CONCAT(LEFT(InventoryTable[[#This Row],[Category]],1),InventoryTable[[#This Row],[Product Pricing Type]],ROW()))</f>
        <v/>
      </c>
      <c r="H448" t="str">
        <f t="shared" si="67"/>
        <v/>
      </c>
      <c r="K448" t="str">
        <f t="shared" si="68"/>
        <v/>
      </c>
      <c r="N448" t="str">
        <f t="shared" si="69"/>
        <v/>
      </c>
      <c r="P448" t="str">
        <f t="shared" si="70"/>
        <v/>
      </c>
      <c r="Q448" s="4" t="str">
        <f t="shared" si="71"/>
        <v/>
      </c>
      <c r="R448" t="str">
        <f t="shared" si="72"/>
        <v/>
      </c>
      <c r="S448" t="str">
        <f t="shared" si="73"/>
        <v/>
      </c>
      <c r="T448" t="str">
        <f>IF(C448="","",InventoryTable[[#This Row],[Profit per Unit]]*InventoryTable[[#This Row],[Total Pieces]])</f>
        <v/>
      </c>
      <c r="U448" t="str">
        <f t="shared" si="74"/>
        <v/>
      </c>
      <c r="V448" t="str">
        <f>IF(C448="","",H448-InventoryTable[[#This Row],[Units Sold]])</f>
        <v/>
      </c>
      <c r="W448" t="str">
        <f t="shared" si="75"/>
        <v/>
      </c>
      <c r="X448" t="str">
        <f t="shared" si="76"/>
        <v/>
      </c>
      <c r="Y448" t="str">
        <f>IF(C448="","",IF(InventoryTable[[#This Row],[Stock Balance]]&lt;=0,"Sold Out",IF((InventoryTable[[#This Row],[Stock Balance]]/InventoryTable[[#This Row],[Total Pieces]])&lt;=0.25,"Low on Stocks","Available")))</f>
        <v/>
      </c>
    </row>
    <row r="449" spans="1:25" x14ac:dyDescent="0.3">
      <c r="A449" t="str">
        <f>IF(C449="","",_xlfn.CONCAT(LEFT(InventoryTable[[#This Row],[Category]],1),InventoryTable[[#This Row],[Product Pricing Type]],ROW()))</f>
        <v/>
      </c>
      <c r="H449" t="str">
        <f t="shared" si="67"/>
        <v/>
      </c>
      <c r="K449" t="str">
        <f t="shared" si="68"/>
        <v/>
      </c>
      <c r="N449" t="str">
        <f t="shared" si="69"/>
        <v/>
      </c>
      <c r="P449" t="str">
        <f t="shared" si="70"/>
        <v/>
      </c>
      <c r="Q449" s="4" t="str">
        <f t="shared" si="71"/>
        <v/>
      </c>
      <c r="R449" t="str">
        <f t="shared" si="72"/>
        <v/>
      </c>
      <c r="S449" t="str">
        <f t="shared" si="73"/>
        <v/>
      </c>
      <c r="T449" t="str">
        <f>IF(C449="","",InventoryTable[[#This Row],[Profit per Unit]]*InventoryTable[[#This Row],[Total Pieces]])</f>
        <v/>
      </c>
      <c r="U449" t="str">
        <f t="shared" si="74"/>
        <v/>
      </c>
      <c r="V449" t="str">
        <f>IF(C449="","",H449-InventoryTable[[#This Row],[Units Sold]])</f>
        <v/>
      </c>
      <c r="W449" t="str">
        <f t="shared" si="75"/>
        <v/>
      </c>
      <c r="X449" t="str">
        <f t="shared" si="76"/>
        <v/>
      </c>
      <c r="Y449" t="str">
        <f>IF(C449="","",IF(InventoryTable[[#This Row],[Stock Balance]]&lt;=0,"Sold Out",IF((InventoryTable[[#This Row],[Stock Balance]]/InventoryTable[[#This Row],[Total Pieces]])&lt;=0.25,"Low on Stocks","Available")))</f>
        <v/>
      </c>
    </row>
    <row r="450" spans="1:25" x14ac:dyDescent="0.3">
      <c r="A450" t="str">
        <f>IF(C450="","",_xlfn.CONCAT(LEFT(InventoryTable[[#This Row],[Category]],1),InventoryTable[[#This Row],[Product Pricing Type]],ROW()))</f>
        <v/>
      </c>
      <c r="H450" t="str">
        <f t="shared" si="67"/>
        <v/>
      </c>
      <c r="K450" t="str">
        <f t="shared" si="68"/>
        <v/>
      </c>
      <c r="N450" t="str">
        <f t="shared" si="69"/>
        <v/>
      </c>
      <c r="P450" t="str">
        <f t="shared" si="70"/>
        <v/>
      </c>
      <c r="Q450" s="4" t="str">
        <f t="shared" si="71"/>
        <v/>
      </c>
      <c r="R450" t="str">
        <f t="shared" si="72"/>
        <v/>
      </c>
      <c r="S450" t="str">
        <f t="shared" si="73"/>
        <v/>
      </c>
      <c r="T450" t="str">
        <f>IF(C450="","",InventoryTable[[#This Row],[Profit per Unit]]*InventoryTable[[#This Row],[Total Pieces]])</f>
        <v/>
      </c>
      <c r="U450" t="str">
        <f t="shared" si="74"/>
        <v/>
      </c>
      <c r="V450" t="str">
        <f>IF(C450="","",H450-InventoryTable[[#This Row],[Units Sold]])</f>
        <v/>
      </c>
      <c r="W450" t="str">
        <f t="shared" si="75"/>
        <v/>
      </c>
      <c r="X450" t="str">
        <f t="shared" si="76"/>
        <v/>
      </c>
      <c r="Y450" t="str">
        <f>IF(C450="","",IF(InventoryTable[[#This Row],[Stock Balance]]&lt;=0,"Sold Out",IF((InventoryTable[[#This Row],[Stock Balance]]/InventoryTable[[#This Row],[Total Pieces]])&lt;=0.25,"Low on Stocks","Available")))</f>
        <v/>
      </c>
    </row>
    <row r="451" spans="1:25" x14ac:dyDescent="0.3">
      <c r="A451" t="str">
        <f>IF(C451="","",_xlfn.CONCAT(LEFT(InventoryTable[[#This Row],[Category]],1),InventoryTable[[#This Row],[Product Pricing Type]],ROW()))</f>
        <v/>
      </c>
      <c r="H451" t="str">
        <f t="shared" si="67"/>
        <v/>
      </c>
      <c r="K451" t="str">
        <f t="shared" si="68"/>
        <v/>
      </c>
      <c r="N451" t="str">
        <f t="shared" si="69"/>
        <v/>
      </c>
      <c r="P451" t="str">
        <f t="shared" si="70"/>
        <v/>
      </c>
      <c r="Q451" s="4" t="str">
        <f t="shared" si="71"/>
        <v/>
      </c>
      <c r="R451" t="str">
        <f t="shared" si="72"/>
        <v/>
      </c>
      <c r="S451" t="str">
        <f t="shared" si="73"/>
        <v/>
      </c>
      <c r="T451" t="str">
        <f>IF(C451="","",InventoryTable[[#This Row],[Profit per Unit]]*InventoryTable[[#This Row],[Total Pieces]])</f>
        <v/>
      </c>
      <c r="U451" t="str">
        <f t="shared" si="74"/>
        <v/>
      </c>
      <c r="V451" t="str">
        <f>IF(C451="","",H451-InventoryTable[[#This Row],[Units Sold]])</f>
        <v/>
      </c>
      <c r="W451" t="str">
        <f t="shared" si="75"/>
        <v/>
      </c>
      <c r="X451" t="str">
        <f t="shared" si="76"/>
        <v/>
      </c>
      <c r="Y451" t="str">
        <f>IF(C451="","",IF(InventoryTable[[#This Row],[Stock Balance]]&lt;=0,"Sold Out",IF((InventoryTable[[#This Row],[Stock Balance]]/InventoryTable[[#This Row],[Total Pieces]])&lt;=0.25,"Low on Stocks","Available")))</f>
        <v/>
      </c>
    </row>
    <row r="452" spans="1:25" x14ac:dyDescent="0.3">
      <c r="A452" t="str">
        <f>IF(C452="","",_xlfn.CONCAT(LEFT(InventoryTable[[#This Row],[Category]],1),InventoryTable[[#This Row],[Product Pricing Type]],ROW()))</f>
        <v/>
      </c>
      <c r="H452" t="str">
        <f t="shared" si="67"/>
        <v/>
      </c>
      <c r="K452" t="str">
        <f t="shared" si="68"/>
        <v/>
      </c>
      <c r="N452" t="str">
        <f t="shared" si="69"/>
        <v/>
      </c>
      <c r="P452" t="str">
        <f t="shared" si="70"/>
        <v/>
      </c>
      <c r="Q452" s="4" t="str">
        <f t="shared" si="71"/>
        <v/>
      </c>
      <c r="R452" t="str">
        <f t="shared" si="72"/>
        <v/>
      </c>
      <c r="S452" t="str">
        <f t="shared" si="73"/>
        <v/>
      </c>
      <c r="T452" t="str">
        <f>IF(C452="","",InventoryTable[[#This Row],[Profit per Unit]]*InventoryTable[[#This Row],[Total Pieces]])</f>
        <v/>
      </c>
      <c r="U452" t="str">
        <f t="shared" si="74"/>
        <v/>
      </c>
      <c r="V452" t="str">
        <f>IF(C452="","",H452-InventoryTable[[#This Row],[Units Sold]])</f>
        <v/>
      </c>
      <c r="W452" t="str">
        <f t="shared" si="75"/>
        <v/>
      </c>
      <c r="X452" t="str">
        <f t="shared" si="76"/>
        <v/>
      </c>
      <c r="Y452" t="str">
        <f>IF(C452="","",IF(InventoryTable[[#This Row],[Stock Balance]]&lt;=0,"Sold Out",IF((InventoryTable[[#This Row],[Stock Balance]]/InventoryTable[[#This Row],[Total Pieces]])&lt;=0.25,"Low on Stocks","Available")))</f>
        <v/>
      </c>
    </row>
    <row r="453" spans="1:25" x14ac:dyDescent="0.3">
      <c r="A453" t="str">
        <f>IF(C453="","",_xlfn.CONCAT(LEFT(InventoryTable[[#This Row],[Category]],1),InventoryTable[[#This Row],[Product Pricing Type]],ROW()))</f>
        <v/>
      </c>
      <c r="H453" t="str">
        <f t="shared" si="67"/>
        <v/>
      </c>
      <c r="K453" t="str">
        <f t="shared" si="68"/>
        <v/>
      </c>
      <c r="N453" t="str">
        <f t="shared" si="69"/>
        <v/>
      </c>
      <c r="P453" t="str">
        <f t="shared" si="70"/>
        <v/>
      </c>
      <c r="Q453" s="4" t="str">
        <f t="shared" si="71"/>
        <v/>
      </c>
      <c r="R453" t="str">
        <f t="shared" si="72"/>
        <v/>
      </c>
      <c r="S453" t="str">
        <f t="shared" si="73"/>
        <v/>
      </c>
      <c r="T453" t="str">
        <f>IF(C453="","",InventoryTable[[#This Row],[Profit per Unit]]*InventoryTable[[#This Row],[Total Pieces]])</f>
        <v/>
      </c>
      <c r="U453" t="str">
        <f t="shared" si="74"/>
        <v/>
      </c>
      <c r="V453" t="str">
        <f>IF(C453="","",H453-InventoryTable[[#This Row],[Units Sold]])</f>
        <v/>
      </c>
      <c r="W453" t="str">
        <f t="shared" si="75"/>
        <v/>
      </c>
      <c r="X453" t="str">
        <f t="shared" si="76"/>
        <v/>
      </c>
      <c r="Y453" t="str">
        <f>IF(C453="","",IF(InventoryTable[[#This Row],[Stock Balance]]&lt;=0,"Sold Out",IF((InventoryTable[[#This Row],[Stock Balance]]/InventoryTable[[#This Row],[Total Pieces]])&lt;=0.25,"Low on Stocks","Available")))</f>
        <v/>
      </c>
    </row>
    <row r="454" spans="1:25" x14ac:dyDescent="0.3">
      <c r="A454" t="str">
        <f>IF(C454="","",_xlfn.CONCAT(LEFT(InventoryTable[[#This Row],[Category]],1),InventoryTable[[#This Row],[Product Pricing Type]],ROW()))</f>
        <v/>
      </c>
      <c r="H454" t="str">
        <f t="shared" si="67"/>
        <v/>
      </c>
      <c r="K454" t="str">
        <f t="shared" si="68"/>
        <v/>
      </c>
      <c r="N454" t="str">
        <f t="shared" si="69"/>
        <v/>
      </c>
      <c r="P454" t="str">
        <f t="shared" si="70"/>
        <v/>
      </c>
      <c r="Q454" s="4" t="str">
        <f t="shared" si="71"/>
        <v/>
      </c>
      <c r="R454" t="str">
        <f t="shared" si="72"/>
        <v/>
      </c>
      <c r="S454" t="str">
        <f t="shared" si="73"/>
        <v/>
      </c>
      <c r="T454" t="str">
        <f>IF(C454="","",InventoryTable[[#This Row],[Profit per Unit]]*InventoryTable[[#This Row],[Total Pieces]])</f>
        <v/>
      </c>
      <c r="U454" t="str">
        <f t="shared" si="74"/>
        <v/>
      </c>
      <c r="V454" t="str">
        <f>IF(C454="","",H454-InventoryTable[[#This Row],[Units Sold]])</f>
        <v/>
      </c>
      <c r="W454" t="str">
        <f t="shared" si="75"/>
        <v/>
      </c>
      <c r="X454" t="str">
        <f t="shared" si="76"/>
        <v/>
      </c>
      <c r="Y454" t="str">
        <f>IF(C454="","",IF(InventoryTable[[#This Row],[Stock Balance]]&lt;=0,"Sold Out",IF((InventoryTable[[#This Row],[Stock Balance]]/InventoryTable[[#This Row],[Total Pieces]])&lt;=0.25,"Low on Stocks","Available")))</f>
        <v/>
      </c>
    </row>
    <row r="455" spans="1:25" x14ac:dyDescent="0.3">
      <c r="A455" t="str">
        <f>IF(C455="","",_xlfn.CONCAT(LEFT(InventoryTable[[#This Row],[Category]],1),InventoryTable[[#This Row],[Product Pricing Type]],ROW()))</f>
        <v/>
      </c>
      <c r="H455" t="str">
        <f t="shared" si="67"/>
        <v/>
      </c>
      <c r="K455" t="str">
        <f t="shared" si="68"/>
        <v/>
      </c>
      <c r="N455" t="str">
        <f t="shared" si="69"/>
        <v/>
      </c>
      <c r="P455" t="str">
        <f t="shared" si="70"/>
        <v/>
      </c>
      <c r="Q455" s="4" t="str">
        <f t="shared" si="71"/>
        <v/>
      </c>
      <c r="R455" t="str">
        <f t="shared" si="72"/>
        <v/>
      </c>
      <c r="S455" t="str">
        <f t="shared" si="73"/>
        <v/>
      </c>
      <c r="T455" t="str">
        <f>IF(C455="","",InventoryTable[[#This Row],[Profit per Unit]]*InventoryTable[[#This Row],[Total Pieces]])</f>
        <v/>
      </c>
      <c r="U455" t="str">
        <f t="shared" si="74"/>
        <v/>
      </c>
      <c r="V455" t="str">
        <f>IF(C455="","",H455-InventoryTable[[#This Row],[Units Sold]])</f>
        <v/>
      </c>
      <c r="W455" t="str">
        <f t="shared" si="75"/>
        <v/>
      </c>
      <c r="X455" t="str">
        <f t="shared" si="76"/>
        <v/>
      </c>
      <c r="Y455" t="str">
        <f>IF(C455="","",IF(InventoryTable[[#This Row],[Stock Balance]]&lt;=0,"Sold Out",IF((InventoryTable[[#This Row],[Stock Balance]]/InventoryTable[[#This Row],[Total Pieces]])&lt;=0.25,"Low on Stocks","Available")))</f>
        <v/>
      </c>
    </row>
    <row r="456" spans="1:25" x14ac:dyDescent="0.3">
      <c r="A456" t="str">
        <f>IF(C456="","",_xlfn.CONCAT(LEFT(InventoryTable[[#This Row],[Category]],1),InventoryTable[[#This Row],[Product Pricing Type]],ROW()))</f>
        <v/>
      </c>
      <c r="H456" t="str">
        <f t="shared" si="67"/>
        <v/>
      </c>
      <c r="K456" t="str">
        <f t="shared" si="68"/>
        <v/>
      </c>
      <c r="N456" t="str">
        <f t="shared" si="69"/>
        <v/>
      </c>
      <c r="P456" t="str">
        <f t="shared" si="70"/>
        <v/>
      </c>
      <c r="Q456" s="4" t="str">
        <f t="shared" si="71"/>
        <v/>
      </c>
      <c r="R456" t="str">
        <f t="shared" si="72"/>
        <v/>
      </c>
      <c r="S456" t="str">
        <f t="shared" si="73"/>
        <v/>
      </c>
      <c r="T456" t="str">
        <f>IF(C456="","",InventoryTable[[#This Row],[Profit per Unit]]*InventoryTable[[#This Row],[Total Pieces]])</f>
        <v/>
      </c>
      <c r="U456" t="str">
        <f t="shared" si="74"/>
        <v/>
      </c>
      <c r="V456" t="str">
        <f>IF(C456="","",H456-InventoryTable[[#This Row],[Units Sold]])</f>
        <v/>
      </c>
      <c r="W456" t="str">
        <f t="shared" si="75"/>
        <v/>
      </c>
      <c r="X456" t="str">
        <f t="shared" si="76"/>
        <v/>
      </c>
      <c r="Y456" t="str">
        <f>IF(C456="","",IF(InventoryTable[[#This Row],[Stock Balance]]&lt;=0,"Sold Out",IF((InventoryTable[[#This Row],[Stock Balance]]/InventoryTable[[#This Row],[Total Pieces]])&lt;=0.25,"Low on Stocks","Available")))</f>
        <v/>
      </c>
    </row>
    <row r="457" spans="1:25" x14ac:dyDescent="0.3">
      <c r="A457" t="str">
        <f>IF(C457="","",_xlfn.CONCAT(LEFT(InventoryTable[[#This Row],[Category]],1),InventoryTable[[#This Row],[Product Pricing Type]],ROW()))</f>
        <v/>
      </c>
      <c r="H457" t="str">
        <f t="shared" si="67"/>
        <v/>
      </c>
      <c r="K457" t="str">
        <f t="shared" si="68"/>
        <v/>
      </c>
      <c r="N457" t="str">
        <f t="shared" si="69"/>
        <v/>
      </c>
      <c r="P457" t="str">
        <f t="shared" si="70"/>
        <v/>
      </c>
      <c r="Q457" s="4" t="str">
        <f t="shared" si="71"/>
        <v/>
      </c>
      <c r="R457" t="str">
        <f t="shared" si="72"/>
        <v/>
      </c>
      <c r="S457" t="str">
        <f t="shared" si="73"/>
        <v/>
      </c>
      <c r="T457" t="str">
        <f>IF(C457="","",InventoryTable[[#This Row],[Profit per Unit]]*InventoryTable[[#This Row],[Total Pieces]])</f>
        <v/>
      </c>
      <c r="U457" t="str">
        <f t="shared" si="74"/>
        <v/>
      </c>
      <c r="V457" t="str">
        <f>IF(C457="","",H457-InventoryTable[[#This Row],[Units Sold]])</f>
        <v/>
      </c>
      <c r="W457" t="str">
        <f t="shared" si="75"/>
        <v/>
      </c>
      <c r="X457" t="str">
        <f t="shared" si="76"/>
        <v/>
      </c>
      <c r="Y457" t="str">
        <f>IF(C457="","",IF(InventoryTable[[#This Row],[Stock Balance]]&lt;=0,"Sold Out",IF((InventoryTable[[#This Row],[Stock Balance]]/InventoryTable[[#This Row],[Total Pieces]])&lt;=0.25,"Low on Stocks","Available")))</f>
        <v/>
      </c>
    </row>
    <row r="458" spans="1:25" x14ac:dyDescent="0.3">
      <c r="A458" t="str">
        <f>IF(C458="","",_xlfn.CONCAT(LEFT(InventoryTable[[#This Row],[Category]],1),InventoryTable[[#This Row],[Product Pricing Type]],ROW()))</f>
        <v/>
      </c>
      <c r="H458" t="str">
        <f t="shared" si="67"/>
        <v/>
      </c>
      <c r="K458" t="str">
        <f t="shared" si="68"/>
        <v/>
      </c>
      <c r="N458" t="str">
        <f t="shared" si="69"/>
        <v/>
      </c>
      <c r="P458" t="str">
        <f t="shared" si="70"/>
        <v/>
      </c>
      <c r="Q458" s="4" t="str">
        <f t="shared" si="71"/>
        <v/>
      </c>
      <c r="R458" t="str">
        <f t="shared" si="72"/>
        <v/>
      </c>
      <c r="S458" t="str">
        <f t="shared" si="73"/>
        <v/>
      </c>
      <c r="T458" t="str">
        <f>IF(C458="","",InventoryTable[[#This Row],[Profit per Unit]]*InventoryTable[[#This Row],[Total Pieces]])</f>
        <v/>
      </c>
      <c r="U458" t="str">
        <f t="shared" si="74"/>
        <v/>
      </c>
      <c r="V458" t="str">
        <f>IF(C458="","",H458-InventoryTable[[#This Row],[Units Sold]])</f>
        <v/>
      </c>
      <c r="W458" t="str">
        <f t="shared" si="75"/>
        <v/>
      </c>
      <c r="X458" t="str">
        <f t="shared" si="76"/>
        <v/>
      </c>
      <c r="Y458" t="str">
        <f>IF(C458="","",IF(InventoryTable[[#This Row],[Stock Balance]]&lt;=0,"Sold Out",IF((InventoryTable[[#This Row],[Stock Balance]]/InventoryTable[[#This Row],[Total Pieces]])&lt;=0.25,"Low on Stocks","Available")))</f>
        <v/>
      </c>
    </row>
    <row r="459" spans="1:25" x14ac:dyDescent="0.3">
      <c r="A459" t="str">
        <f>IF(C459="","",_xlfn.CONCAT(LEFT(InventoryTable[[#This Row],[Category]],1),InventoryTable[[#This Row],[Product Pricing Type]],ROW()))</f>
        <v/>
      </c>
      <c r="H459" t="str">
        <f t="shared" si="67"/>
        <v/>
      </c>
      <c r="K459" t="str">
        <f t="shared" si="68"/>
        <v/>
      </c>
      <c r="N459" t="str">
        <f t="shared" si="69"/>
        <v/>
      </c>
      <c r="P459" t="str">
        <f t="shared" si="70"/>
        <v/>
      </c>
      <c r="Q459" s="4" t="str">
        <f t="shared" si="71"/>
        <v/>
      </c>
      <c r="R459" t="str">
        <f t="shared" si="72"/>
        <v/>
      </c>
      <c r="S459" t="str">
        <f t="shared" si="73"/>
        <v/>
      </c>
      <c r="T459" t="str">
        <f>IF(C459="","",InventoryTable[[#This Row],[Profit per Unit]]*InventoryTable[[#This Row],[Total Pieces]])</f>
        <v/>
      </c>
      <c r="U459" t="str">
        <f t="shared" si="74"/>
        <v/>
      </c>
      <c r="V459" t="str">
        <f>IF(C459="","",H459-InventoryTable[[#This Row],[Units Sold]])</f>
        <v/>
      </c>
      <c r="W459" t="str">
        <f t="shared" si="75"/>
        <v/>
      </c>
      <c r="X459" t="str">
        <f t="shared" si="76"/>
        <v/>
      </c>
      <c r="Y459" t="str">
        <f>IF(C459="","",IF(InventoryTable[[#This Row],[Stock Balance]]&lt;=0,"Sold Out",IF((InventoryTable[[#This Row],[Stock Balance]]/InventoryTable[[#This Row],[Total Pieces]])&lt;=0.25,"Low on Stocks","Available")))</f>
        <v/>
      </c>
    </row>
    <row r="460" spans="1:25" x14ac:dyDescent="0.3">
      <c r="A460" t="str">
        <f>IF(C460="","",_xlfn.CONCAT(LEFT(InventoryTable[[#This Row],[Category]],1),InventoryTable[[#This Row],[Product Pricing Type]],ROW()))</f>
        <v/>
      </c>
      <c r="H460" t="str">
        <f t="shared" si="67"/>
        <v/>
      </c>
      <c r="K460" t="str">
        <f t="shared" si="68"/>
        <v/>
      </c>
      <c r="N460" t="str">
        <f t="shared" si="69"/>
        <v/>
      </c>
      <c r="P460" t="str">
        <f t="shared" si="70"/>
        <v/>
      </c>
      <c r="Q460" s="4" t="str">
        <f t="shared" si="71"/>
        <v/>
      </c>
      <c r="R460" t="str">
        <f t="shared" si="72"/>
        <v/>
      </c>
      <c r="S460" t="str">
        <f t="shared" si="73"/>
        <v/>
      </c>
      <c r="T460" t="str">
        <f>IF(C460="","",InventoryTable[[#This Row],[Profit per Unit]]*InventoryTable[[#This Row],[Total Pieces]])</f>
        <v/>
      </c>
      <c r="U460" t="str">
        <f t="shared" si="74"/>
        <v/>
      </c>
      <c r="V460" t="str">
        <f>IF(C460="","",H460-InventoryTable[[#This Row],[Units Sold]])</f>
        <v/>
      </c>
      <c r="W460" t="str">
        <f t="shared" si="75"/>
        <v/>
      </c>
      <c r="X460" t="str">
        <f t="shared" si="76"/>
        <v/>
      </c>
      <c r="Y460" t="str">
        <f>IF(C460="","",IF(InventoryTable[[#This Row],[Stock Balance]]&lt;=0,"Sold Out",IF((InventoryTable[[#This Row],[Stock Balance]]/InventoryTable[[#This Row],[Total Pieces]])&lt;=0.25,"Low on Stocks","Available")))</f>
        <v/>
      </c>
    </row>
    <row r="461" spans="1:25" x14ac:dyDescent="0.3">
      <c r="A461" t="str">
        <f>IF(C461="","",_xlfn.CONCAT(LEFT(InventoryTable[[#This Row],[Category]],1),InventoryTable[[#This Row],[Product Pricing Type]],ROW()))</f>
        <v/>
      </c>
      <c r="H461" t="str">
        <f t="shared" si="67"/>
        <v/>
      </c>
      <c r="K461" t="str">
        <f t="shared" si="68"/>
        <v/>
      </c>
      <c r="N461" t="str">
        <f t="shared" si="69"/>
        <v/>
      </c>
      <c r="P461" t="str">
        <f t="shared" si="70"/>
        <v/>
      </c>
      <c r="Q461" s="4" t="str">
        <f t="shared" si="71"/>
        <v/>
      </c>
      <c r="R461" t="str">
        <f t="shared" si="72"/>
        <v/>
      </c>
      <c r="S461" t="str">
        <f t="shared" si="73"/>
        <v/>
      </c>
      <c r="T461" t="str">
        <f>IF(C461="","",InventoryTable[[#This Row],[Profit per Unit]]*InventoryTable[[#This Row],[Total Pieces]])</f>
        <v/>
      </c>
      <c r="U461" t="str">
        <f t="shared" si="74"/>
        <v/>
      </c>
      <c r="V461" t="str">
        <f>IF(C461="","",H461-InventoryTable[[#This Row],[Units Sold]])</f>
        <v/>
      </c>
      <c r="W461" t="str">
        <f t="shared" si="75"/>
        <v/>
      </c>
      <c r="X461" t="str">
        <f t="shared" si="76"/>
        <v/>
      </c>
      <c r="Y461" t="str">
        <f>IF(C461="","",IF(InventoryTable[[#This Row],[Stock Balance]]&lt;=0,"Sold Out",IF((InventoryTable[[#This Row],[Stock Balance]]/InventoryTable[[#This Row],[Total Pieces]])&lt;=0.25,"Low on Stocks","Available")))</f>
        <v/>
      </c>
    </row>
    <row r="462" spans="1:25" x14ac:dyDescent="0.3">
      <c r="A462" t="str">
        <f>IF(C462="","",_xlfn.CONCAT(LEFT(InventoryTable[[#This Row],[Category]],1),InventoryTable[[#This Row],[Product Pricing Type]],ROW()))</f>
        <v/>
      </c>
      <c r="H462" t="str">
        <f t="shared" si="67"/>
        <v/>
      </c>
      <c r="K462" t="str">
        <f t="shared" si="68"/>
        <v/>
      </c>
      <c r="N462" t="str">
        <f t="shared" si="69"/>
        <v/>
      </c>
      <c r="P462" t="str">
        <f t="shared" si="70"/>
        <v/>
      </c>
      <c r="Q462" s="4" t="str">
        <f t="shared" si="71"/>
        <v/>
      </c>
      <c r="R462" t="str">
        <f t="shared" si="72"/>
        <v/>
      </c>
      <c r="S462" t="str">
        <f t="shared" si="73"/>
        <v/>
      </c>
      <c r="T462" t="str">
        <f>IF(C462="","",InventoryTable[[#This Row],[Profit per Unit]]*InventoryTable[[#This Row],[Total Pieces]])</f>
        <v/>
      </c>
      <c r="U462" t="str">
        <f t="shared" si="74"/>
        <v/>
      </c>
      <c r="V462" t="str">
        <f>IF(C462="","",H462-InventoryTable[[#This Row],[Units Sold]])</f>
        <v/>
      </c>
      <c r="W462" t="str">
        <f t="shared" si="75"/>
        <v/>
      </c>
      <c r="X462" t="str">
        <f t="shared" si="76"/>
        <v/>
      </c>
      <c r="Y462" t="str">
        <f>IF(C462="","",IF(InventoryTable[[#This Row],[Stock Balance]]&lt;=0,"Sold Out",IF((InventoryTable[[#This Row],[Stock Balance]]/InventoryTable[[#This Row],[Total Pieces]])&lt;=0.25,"Low on Stocks","Available")))</f>
        <v/>
      </c>
    </row>
    <row r="463" spans="1:25" x14ac:dyDescent="0.3">
      <c r="A463" t="str">
        <f>IF(C463="","",_xlfn.CONCAT(LEFT(InventoryTable[[#This Row],[Category]],1),InventoryTable[[#This Row],[Product Pricing Type]],ROW()))</f>
        <v/>
      </c>
      <c r="H463" t="str">
        <f t="shared" si="67"/>
        <v/>
      </c>
      <c r="K463" t="str">
        <f t="shared" si="68"/>
        <v/>
      </c>
      <c r="N463" t="str">
        <f t="shared" si="69"/>
        <v/>
      </c>
      <c r="P463" t="str">
        <f t="shared" si="70"/>
        <v/>
      </c>
      <c r="Q463" s="4" t="str">
        <f t="shared" si="71"/>
        <v/>
      </c>
      <c r="R463" t="str">
        <f t="shared" si="72"/>
        <v/>
      </c>
      <c r="S463" t="str">
        <f t="shared" si="73"/>
        <v/>
      </c>
      <c r="T463" t="str">
        <f>IF(C463="","",InventoryTable[[#This Row],[Profit per Unit]]*InventoryTable[[#This Row],[Total Pieces]])</f>
        <v/>
      </c>
      <c r="U463" t="str">
        <f t="shared" si="74"/>
        <v/>
      </c>
      <c r="V463" t="str">
        <f>IF(C463="","",H463-InventoryTable[[#This Row],[Units Sold]])</f>
        <v/>
      </c>
      <c r="W463" t="str">
        <f t="shared" si="75"/>
        <v/>
      </c>
      <c r="X463" t="str">
        <f t="shared" si="76"/>
        <v/>
      </c>
      <c r="Y463" t="str">
        <f>IF(C463="","",IF(InventoryTable[[#This Row],[Stock Balance]]&lt;=0,"Sold Out",IF((InventoryTable[[#This Row],[Stock Balance]]/InventoryTable[[#This Row],[Total Pieces]])&lt;=0.25,"Low on Stocks","Available")))</f>
        <v/>
      </c>
    </row>
    <row r="464" spans="1:25" x14ac:dyDescent="0.3">
      <c r="A464" t="str">
        <f>IF(C464="","",_xlfn.CONCAT(LEFT(InventoryTable[[#This Row],[Category]],1),InventoryTable[[#This Row],[Product Pricing Type]],ROW()))</f>
        <v/>
      </c>
      <c r="H464" t="str">
        <f t="shared" si="67"/>
        <v/>
      </c>
      <c r="K464" t="str">
        <f t="shared" si="68"/>
        <v/>
      </c>
      <c r="N464" t="str">
        <f t="shared" si="69"/>
        <v/>
      </c>
      <c r="P464" t="str">
        <f t="shared" si="70"/>
        <v/>
      </c>
      <c r="Q464" s="4" t="str">
        <f t="shared" si="71"/>
        <v/>
      </c>
      <c r="R464" t="str">
        <f t="shared" si="72"/>
        <v/>
      </c>
      <c r="S464" t="str">
        <f t="shared" si="73"/>
        <v/>
      </c>
      <c r="T464" t="str">
        <f>IF(C464="","",InventoryTable[[#This Row],[Profit per Unit]]*InventoryTable[[#This Row],[Total Pieces]])</f>
        <v/>
      </c>
      <c r="U464" t="str">
        <f t="shared" si="74"/>
        <v/>
      </c>
      <c r="V464" t="str">
        <f>IF(C464="","",H464-InventoryTable[[#This Row],[Units Sold]])</f>
        <v/>
      </c>
      <c r="W464" t="str">
        <f t="shared" si="75"/>
        <v/>
      </c>
      <c r="X464" t="str">
        <f t="shared" si="76"/>
        <v/>
      </c>
      <c r="Y464" t="str">
        <f>IF(C464="","",IF(InventoryTable[[#This Row],[Stock Balance]]&lt;=0,"Sold Out",IF((InventoryTable[[#This Row],[Stock Balance]]/InventoryTable[[#This Row],[Total Pieces]])&lt;=0.25,"Low on Stocks","Available")))</f>
        <v/>
      </c>
    </row>
    <row r="465" spans="1:25" x14ac:dyDescent="0.3">
      <c r="A465" t="str">
        <f>IF(C465="","",_xlfn.CONCAT(LEFT(InventoryTable[[#This Row],[Category]],1),InventoryTable[[#This Row],[Product Pricing Type]],ROW()))</f>
        <v/>
      </c>
      <c r="H465" t="str">
        <f t="shared" si="67"/>
        <v/>
      </c>
      <c r="K465" t="str">
        <f t="shared" si="68"/>
        <v/>
      </c>
      <c r="N465" t="str">
        <f t="shared" si="69"/>
        <v/>
      </c>
      <c r="P465" t="str">
        <f t="shared" si="70"/>
        <v/>
      </c>
      <c r="Q465" s="4" t="str">
        <f t="shared" si="71"/>
        <v/>
      </c>
      <c r="R465" t="str">
        <f t="shared" si="72"/>
        <v/>
      </c>
      <c r="S465" t="str">
        <f t="shared" si="73"/>
        <v/>
      </c>
      <c r="T465" t="str">
        <f>IF(C465="","",InventoryTable[[#This Row],[Profit per Unit]]*InventoryTable[[#This Row],[Total Pieces]])</f>
        <v/>
      </c>
      <c r="U465" t="str">
        <f t="shared" si="74"/>
        <v/>
      </c>
      <c r="V465" t="str">
        <f>IF(C465="","",H465-InventoryTable[[#This Row],[Units Sold]])</f>
        <v/>
      </c>
      <c r="W465" t="str">
        <f t="shared" si="75"/>
        <v/>
      </c>
      <c r="X465" t="str">
        <f t="shared" si="76"/>
        <v/>
      </c>
      <c r="Y465" t="str">
        <f>IF(C465="","",IF(InventoryTable[[#This Row],[Stock Balance]]&lt;=0,"Sold Out",IF((InventoryTable[[#This Row],[Stock Balance]]/InventoryTable[[#This Row],[Total Pieces]])&lt;=0.25,"Low on Stocks","Available")))</f>
        <v/>
      </c>
    </row>
    <row r="466" spans="1:25" x14ac:dyDescent="0.3">
      <c r="A466" t="str">
        <f>IF(C466="","",_xlfn.CONCAT(LEFT(InventoryTable[[#This Row],[Category]],1),InventoryTable[[#This Row],[Product Pricing Type]],ROW()))</f>
        <v/>
      </c>
      <c r="H466" t="str">
        <f t="shared" si="67"/>
        <v/>
      </c>
      <c r="K466" t="str">
        <f t="shared" si="68"/>
        <v/>
      </c>
      <c r="N466" t="str">
        <f t="shared" si="69"/>
        <v/>
      </c>
      <c r="P466" t="str">
        <f t="shared" si="70"/>
        <v/>
      </c>
      <c r="Q466" s="4" t="str">
        <f t="shared" si="71"/>
        <v/>
      </c>
      <c r="R466" t="str">
        <f t="shared" si="72"/>
        <v/>
      </c>
      <c r="S466" t="str">
        <f t="shared" si="73"/>
        <v/>
      </c>
      <c r="T466" t="str">
        <f>IF(C466="","",InventoryTable[[#This Row],[Profit per Unit]]*InventoryTable[[#This Row],[Total Pieces]])</f>
        <v/>
      </c>
      <c r="U466" t="str">
        <f t="shared" si="74"/>
        <v/>
      </c>
      <c r="V466" t="str">
        <f>IF(C466="","",H466-InventoryTable[[#This Row],[Units Sold]])</f>
        <v/>
      </c>
      <c r="W466" t="str">
        <f t="shared" si="75"/>
        <v/>
      </c>
      <c r="X466" t="str">
        <f t="shared" si="76"/>
        <v/>
      </c>
      <c r="Y466" t="str">
        <f>IF(C466="","",IF(InventoryTable[[#This Row],[Stock Balance]]&lt;=0,"Sold Out",IF((InventoryTable[[#This Row],[Stock Balance]]/InventoryTable[[#This Row],[Total Pieces]])&lt;=0.25,"Low on Stocks","Available")))</f>
        <v/>
      </c>
    </row>
    <row r="467" spans="1:25" x14ac:dyDescent="0.3">
      <c r="A467" t="str">
        <f>IF(C467="","",_xlfn.CONCAT(LEFT(InventoryTable[[#This Row],[Category]],1),InventoryTable[[#This Row],[Product Pricing Type]],ROW()))</f>
        <v/>
      </c>
      <c r="H467" t="str">
        <f t="shared" si="67"/>
        <v/>
      </c>
      <c r="K467" t="str">
        <f t="shared" si="68"/>
        <v/>
      </c>
      <c r="N467" t="str">
        <f t="shared" si="69"/>
        <v/>
      </c>
      <c r="P467" t="str">
        <f t="shared" si="70"/>
        <v/>
      </c>
      <c r="Q467" s="4" t="str">
        <f t="shared" si="71"/>
        <v/>
      </c>
      <c r="R467" t="str">
        <f t="shared" si="72"/>
        <v/>
      </c>
      <c r="S467" t="str">
        <f t="shared" si="73"/>
        <v/>
      </c>
      <c r="T467" t="str">
        <f>IF(C467="","",InventoryTable[[#This Row],[Profit per Unit]]*InventoryTable[[#This Row],[Total Pieces]])</f>
        <v/>
      </c>
      <c r="U467" t="str">
        <f t="shared" si="74"/>
        <v/>
      </c>
      <c r="V467" t="str">
        <f>IF(C467="","",H467-InventoryTable[[#This Row],[Units Sold]])</f>
        <v/>
      </c>
      <c r="W467" t="str">
        <f t="shared" si="75"/>
        <v/>
      </c>
      <c r="X467" t="str">
        <f t="shared" si="76"/>
        <v/>
      </c>
      <c r="Y467" t="str">
        <f>IF(C467="","",IF(InventoryTable[[#This Row],[Stock Balance]]&lt;=0,"Sold Out",IF((InventoryTable[[#This Row],[Stock Balance]]/InventoryTable[[#This Row],[Total Pieces]])&lt;=0.25,"Low on Stocks","Available")))</f>
        <v/>
      </c>
    </row>
    <row r="468" spans="1:25" x14ac:dyDescent="0.3">
      <c r="A468" t="str">
        <f>IF(C468="","",_xlfn.CONCAT(LEFT(InventoryTable[[#This Row],[Category]],1),InventoryTable[[#This Row],[Product Pricing Type]],ROW()))</f>
        <v/>
      </c>
      <c r="H468" t="str">
        <f t="shared" si="67"/>
        <v/>
      </c>
      <c r="K468" t="str">
        <f t="shared" si="68"/>
        <v/>
      </c>
      <c r="N468" t="str">
        <f t="shared" si="69"/>
        <v/>
      </c>
      <c r="P468" t="str">
        <f t="shared" si="70"/>
        <v/>
      </c>
      <c r="Q468" s="4" t="str">
        <f t="shared" si="71"/>
        <v/>
      </c>
      <c r="R468" t="str">
        <f t="shared" si="72"/>
        <v/>
      </c>
      <c r="S468" t="str">
        <f t="shared" si="73"/>
        <v/>
      </c>
      <c r="T468" t="str">
        <f>IF(C468="","",InventoryTable[[#This Row],[Profit per Unit]]*InventoryTable[[#This Row],[Total Pieces]])</f>
        <v/>
      </c>
      <c r="U468" t="str">
        <f t="shared" si="74"/>
        <v/>
      </c>
      <c r="V468" t="str">
        <f>IF(C468="","",H468-InventoryTable[[#This Row],[Units Sold]])</f>
        <v/>
      </c>
      <c r="W468" t="str">
        <f t="shared" si="75"/>
        <v/>
      </c>
      <c r="X468" t="str">
        <f t="shared" si="76"/>
        <v/>
      </c>
      <c r="Y468" t="str">
        <f>IF(C468="","",IF(InventoryTable[[#This Row],[Stock Balance]]&lt;=0,"Sold Out",IF((InventoryTable[[#This Row],[Stock Balance]]/InventoryTable[[#This Row],[Total Pieces]])&lt;=0.25,"Low on Stocks","Available")))</f>
        <v/>
      </c>
    </row>
    <row r="469" spans="1:25" x14ac:dyDescent="0.3">
      <c r="A469" t="str">
        <f>IF(C469="","",_xlfn.CONCAT(LEFT(InventoryTable[[#This Row],[Category]],1),InventoryTable[[#This Row],[Product Pricing Type]],ROW()))</f>
        <v/>
      </c>
      <c r="H469" t="str">
        <f t="shared" si="67"/>
        <v/>
      </c>
      <c r="K469" t="str">
        <f t="shared" si="68"/>
        <v/>
      </c>
      <c r="N469" t="str">
        <f t="shared" si="69"/>
        <v/>
      </c>
      <c r="P469" t="str">
        <f t="shared" si="70"/>
        <v/>
      </c>
      <c r="Q469" s="4" t="str">
        <f t="shared" si="71"/>
        <v/>
      </c>
      <c r="R469" t="str">
        <f t="shared" si="72"/>
        <v/>
      </c>
      <c r="S469" t="str">
        <f t="shared" si="73"/>
        <v/>
      </c>
      <c r="T469" t="str">
        <f>IF(C469="","",InventoryTable[[#This Row],[Profit per Unit]]*InventoryTable[[#This Row],[Total Pieces]])</f>
        <v/>
      </c>
      <c r="U469" t="str">
        <f t="shared" si="74"/>
        <v/>
      </c>
      <c r="V469" t="str">
        <f>IF(C469="","",H469-InventoryTable[[#This Row],[Units Sold]])</f>
        <v/>
      </c>
      <c r="W469" t="str">
        <f t="shared" si="75"/>
        <v/>
      </c>
      <c r="X469" t="str">
        <f t="shared" si="76"/>
        <v/>
      </c>
      <c r="Y469" t="str">
        <f>IF(C469="","",IF(InventoryTable[[#This Row],[Stock Balance]]&lt;=0,"Sold Out",IF((InventoryTable[[#This Row],[Stock Balance]]/InventoryTable[[#This Row],[Total Pieces]])&lt;=0.25,"Low on Stocks","Available")))</f>
        <v/>
      </c>
    </row>
    <row r="470" spans="1:25" x14ac:dyDescent="0.3">
      <c r="A470" t="str">
        <f>IF(C470="","",_xlfn.CONCAT(LEFT(InventoryTable[[#This Row],[Category]],1),InventoryTable[[#This Row],[Product Pricing Type]],ROW()))</f>
        <v/>
      </c>
      <c r="H470" t="str">
        <f t="shared" si="67"/>
        <v/>
      </c>
      <c r="K470" t="str">
        <f t="shared" si="68"/>
        <v/>
      </c>
      <c r="N470" t="str">
        <f t="shared" si="69"/>
        <v/>
      </c>
      <c r="P470" t="str">
        <f t="shared" si="70"/>
        <v/>
      </c>
      <c r="Q470" s="4" t="str">
        <f t="shared" si="71"/>
        <v/>
      </c>
      <c r="R470" t="str">
        <f t="shared" si="72"/>
        <v/>
      </c>
      <c r="S470" t="str">
        <f t="shared" si="73"/>
        <v/>
      </c>
      <c r="T470" t="str">
        <f>IF(C470="","",InventoryTable[[#This Row],[Profit per Unit]]*InventoryTable[[#This Row],[Total Pieces]])</f>
        <v/>
      </c>
      <c r="U470" t="str">
        <f t="shared" si="74"/>
        <v/>
      </c>
      <c r="V470" t="str">
        <f>IF(C470="","",H470-InventoryTable[[#This Row],[Units Sold]])</f>
        <v/>
      </c>
      <c r="W470" t="str">
        <f t="shared" si="75"/>
        <v/>
      </c>
      <c r="X470" t="str">
        <f t="shared" si="76"/>
        <v/>
      </c>
      <c r="Y470" t="str">
        <f>IF(C470="","",IF(InventoryTable[[#This Row],[Stock Balance]]&lt;=0,"Sold Out",IF((InventoryTable[[#This Row],[Stock Balance]]/InventoryTable[[#This Row],[Total Pieces]])&lt;=0.25,"Low on Stocks","Available")))</f>
        <v/>
      </c>
    </row>
    <row r="471" spans="1:25" x14ac:dyDescent="0.3">
      <c r="A471" t="str">
        <f>IF(C471="","",_xlfn.CONCAT(LEFT(InventoryTable[[#This Row],[Category]],1),InventoryTable[[#This Row],[Product Pricing Type]],ROW()))</f>
        <v/>
      </c>
      <c r="H471" t="str">
        <f t="shared" si="67"/>
        <v/>
      </c>
      <c r="K471" t="str">
        <f t="shared" si="68"/>
        <v/>
      </c>
      <c r="N471" t="str">
        <f t="shared" si="69"/>
        <v/>
      </c>
      <c r="P471" t="str">
        <f t="shared" si="70"/>
        <v/>
      </c>
      <c r="Q471" s="4" t="str">
        <f t="shared" si="71"/>
        <v/>
      </c>
      <c r="R471" t="str">
        <f t="shared" si="72"/>
        <v/>
      </c>
      <c r="S471" t="str">
        <f t="shared" si="73"/>
        <v/>
      </c>
      <c r="T471" t="str">
        <f>IF(C471="","",InventoryTable[[#This Row],[Profit per Unit]]*InventoryTable[[#This Row],[Total Pieces]])</f>
        <v/>
      </c>
      <c r="U471" t="str">
        <f t="shared" si="74"/>
        <v/>
      </c>
      <c r="V471" t="str">
        <f>IF(C471="","",H471-InventoryTable[[#This Row],[Units Sold]])</f>
        <v/>
      </c>
      <c r="W471" t="str">
        <f t="shared" si="75"/>
        <v/>
      </c>
      <c r="X471" t="str">
        <f t="shared" si="76"/>
        <v/>
      </c>
      <c r="Y471" t="str">
        <f>IF(C471="","",IF(InventoryTable[[#This Row],[Stock Balance]]&lt;=0,"Sold Out",IF((InventoryTable[[#This Row],[Stock Balance]]/InventoryTable[[#This Row],[Total Pieces]])&lt;=0.25,"Low on Stocks","Available")))</f>
        <v/>
      </c>
    </row>
    <row r="472" spans="1:25" x14ac:dyDescent="0.3">
      <c r="A472" t="str">
        <f>IF(C472="","",_xlfn.CONCAT(LEFT(InventoryTable[[#This Row],[Category]],1),InventoryTable[[#This Row],[Product Pricing Type]],ROW()))</f>
        <v/>
      </c>
      <c r="H472" t="str">
        <f t="shared" si="67"/>
        <v/>
      </c>
      <c r="K472" t="str">
        <f t="shared" si="68"/>
        <v/>
      </c>
      <c r="N472" t="str">
        <f t="shared" si="69"/>
        <v/>
      </c>
      <c r="P472" t="str">
        <f t="shared" si="70"/>
        <v/>
      </c>
      <c r="Q472" s="4" t="str">
        <f t="shared" si="71"/>
        <v/>
      </c>
      <c r="R472" t="str">
        <f t="shared" si="72"/>
        <v/>
      </c>
      <c r="S472" t="str">
        <f t="shared" si="73"/>
        <v/>
      </c>
      <c r="T472" t="str">
        <f>IF(C472="","",InventoryTable[[#This Row],[Profit per Unit]]*InventoryTable[[#This Row],[Total Pieces]])</f>
        <v/>
      </c>
      <c r="U472" t="str">
        <f t="shared" si="74"/>
        <v/>
      </c>
      <c r="V472" t="str">
        <f>IF(C472="","",H472-InventoryTable[[#This Row],[Units Sold]])</f>
        <v/>
      </c>
      <c r="W472" t="str">
        <f t="shared" si="75"/>
        <v/>
      </c>
      <c r="X472" t="str">
        <f t="shared" si="76"/>
        <v/>
      </c>
      <c r="Y472" t="str">
        <f>IF(C472="","",IF(InventoryTable[[#This Row],[Stock Balance]]&lt;=0,"Sold Out",IF((InventoryTable[[#This Row],[Stock Balance]]/InventoryTable[[#This Row],[Total Pieces]])&lt;=0.25,"Low on Stocks","Available")))</f>
        <v/>
      </c>
    </row>
    <row r="473" spans="1:25" x14ac:dyDescent="0.3">
      <c r="A473" t="str">
        <f>IF(C473="","",_xlfn.CONCAT(LEFT(InventoryTable[[#This Row],[Category]],1),InventoryTable[[#This Row],[Product Pricing Type]],ROW()))</f>
        <v/>
      </c>
      <c r="H473" t="str">
        <f t="shared" si="67"/>
        <v/>
      </c>
      <c r="K473" t="str">
        <f t="shared" si="68"/>
        <v/>
      </c>
      <c r="N473" t="str">
        <f t="shared" si="69"/>
        <v/>
      </c>
      <c r="P473" t="str">
        <f t="shared" si="70"/>
        <v/>
      </c>
      <c r="Q473" s="4" t="str">
        <f t="shared" si="71"/>
        <v/>
      </c>
      <c r="R473" t="str">
        <f t="shared" si="72"/>
        <v/>
      </c>
      <c r="S473" t="str">
        <f t="shared" si="73"/>
        <v/>
      </c>
      <c r="T473" t="str">
        <f>IF(C473="","",InventoryTable[[#This Row],[Profit per Unit]]*InventoryTable[[#This Row],[Total Pieces]])</f>
        <v/>
      </c>
      <c r="U473" t="str">
        <f t="shared" si="74"/>
        <v/>
      </c>
      <c r="V473" t="str">
        <f>IF(C473="","",H473-InventoryTable[[#This Row],[Units Sold]])</f>
        <v/>
      </c>
      <c r="W473" t="str">
        <f t="shared" si="75"/>
        <v/>
      </c>
      <c r="X473" t="str">
        <f t="shared" si="76"/>
        <v/>
      </c>
      <c r="Y473" t="str">
        <f>IF(C473="","",IF(InventoryTable[[#This Row],[Stock Balance]]&lt;=0,"Sold Out",IF((InventoryTable[[#This Row],[Stock Balance]]/InventoryTable[[#This Row],[Total Pieces]])&lt;=0.25,"Low on Stocks","Available")))</f>
        <v/>
      </c>
    </row>
    <row r="474" spans="1:25" x14ac:dyDescent="0.3">
      <c r="A474" t="str">
        <f>IF(C474="","",_xlfn.CONCAT(LEFT(InventoryTable[[#This Row],[Category]],1),InventoryTable[[#This Row],[Product Pricing Type]],ROW()))</f>
        <v/>
      </c>
      <c r="H474" t="str">
        <f t="shared" si="67"/>
        <v/>
      </c>
      <c r="K474" t="str">
        <f t="shared" si="68"/>
        <v/>
      </c>
      <c r="N474" t="str">
        <f t="shared" si="69"/>
        <v/>
      </c>
      <c r="P474" t="str">
        <f t="shared" si="70"/>
        <v/>
      </c>
      <c r="Q474" s="4" t="str">
        <f t="shared" si="71"/>
        <v/>
      </c>
      <c r="R474" t="str">
        <f t="shared" si="72"/>
        <v/>
      </c>
      <c r="S474" t="str">
        <f t="shared" si="73"/>
        <v/>
      </c>
      <c r="T474" t="str">
        <f>IF(C474="","",InventoryTable[[#This Row],[Profit per Unit]]*InventoryTable[[#This Row],[Total Pieces]])</f>
        <v/>
      </c>
      <c r="U474" t="str">
        <f t="shared" si="74"/>
        <v/>
      </c>
      <c r="V474" t="str">
        <f>IF(C474="","",H474-InventoryTable[[#This Row],[Units Sold]])</f>
        <v/>
      </c>
      <c r="W474" t="str">
        <f t="shared" si="75"/>
        <v/>
      </c>
      <c r="X474" t="str">
        <f t="shared" si="76"/>
        <v/>
      </c>
      <c r="Y474" t="str">
        <f>IF(C474="","",IF(InventoryTable[[#This Row],[Stock Balance]]&lt;=0,"Sold Out",IF((InventoryTable[[#This Row],[Stock Balance]]/InventoryTable[[#This Row],[Total Pieces]])&lt;=0.25,"Low on Stocks","Available")))</f>
        <v/>
      </c>
    </row>
    <row r="475" spans="1:25" x14ac:dyDescent="0.3">
      <c r="A475" t="str">
        <f>IF(C475="","",_xlfn.CONCAT(LEFT(InventoryTable[[#This Row],[Category]],1),InventoryTable[[#This Row],[Product Pricing Type]],ROW()))</f>
        <v/>
      </c>
      <c r="H475" t="str">
        <f t="shared" si="67"/>
        <v/>
      </c>
      <c r="K475" t="str">
        <f t="shared" si="68"/>
        <v/>
      </c>
      <c r="N475" t="str">
        <f t="shared" si="69"/>
        <v/>
      </c>
      <c r="P475" t="str">
        <f t="shared" si="70"/>
        <v/>
      </c>
      <c r="Q475" s="4" t="str">
        <f t="shared" si="71"/>
        <v/>
      </c>
      <c r="R475" t="str">
        <f t="shared" si="72"/>
        <v/>
      </c>
      <c r="S475" t="str">
        <f t="shared" si="73"/>
        <v/>
      </c>
      <c r="T475" t="str">
        <f>IF(C475="","",InventoryTable[[#This Row],[Profit per Unit]]*InventoryTable[[#This Row],[Total Pieces]])</f>
        <v/>
      </c>
      <c r="U475" t="str">
        <f t="shared" si="74"/>
        <v/>
      </c>
      <c r="V475" t="str">
        <f>IF(C475="","",H475-InventoryTable[[#This Row],[Units Sold]])</f>
        <v/>
      </c>
      <c r="W475" t="str">
        <f t="shared" si="75"/>
        <v/>
      </c>
      <c r="X475" t="str">
        <f t="shared" si="76"/>
        <v/>
      </c>
      <c r="Y475" t="str">
        <f>IF(C475="","",IF(InventoryTable[[#This Row],[Stock Balance]]&lt;=0,"Sold Out",IF((InventoryTable[[#This Row],[Stock Balance]]/InventoryTable[[#This Row],[Total Pieces]])&lt;=0.25,"Low on Stocks","Available")))</f>
        <v/>
      </c>
    </row>
    <row r="476" spans="1:25" x14ac:dyDescent="0.3">
      <c r="A476" t="str">
        <f>IF(C476="","",_xlfn.CONCAT(LEFT(InventoryTable[[#This Row],[Category]],1),InventoryTable[[#This Row],[Product Pricing Type]],ROW()))</f>
        <v/>
      </c>
      <c r="H476" t="str">
        <f t="shared" si="67"/>
        <v/>
      </c>
      <c r="K476" t="str">
        <f t="shared" si="68"/>
        <v/>
      </c>
      <c r="N476" t="str">
        <f t="shared" si="69"/>
        <v/>
      </c>
      <c r="P476" t="str">
        <f t="shared" si="70"/>
        <v/>
      </c>
      <c r="Q476" s="4" t="str">
        <f t="shared" si="71"/>
        <v/>
      </c>
      <c r="R476" t="str">
        <f t="shared" si="72"/>
        <v/>
      </c>
      <c r="S476" t="str">
        <f t="shared" si="73"/>
        <v/>
      </c>
      <c r="T476" t="str">
        <f>IF(C476="","",InventoryTable[[#This Row],[Profit per Unit]]*InventoryTable[[#This Row],[Total Pieces]])</f>
        <v/>
      </c>
      <c r="U476" t="str">
        <f t="shared" si="74"/>
        <v/>
      </c>
      <c r="V476" t="str">
        <f>IF(C476="","",H476-InventoryTable[[#This Row],[Units Sold]])</f>
        <v/>
      </c>
      <c r="W476" t="str">
        <f t="shared" si="75"/>
        <v/>
      </c>
      <c r="X476" t="str">
        <f t="shared" si="76"/>
        <v/>
      </c>
      <c r="Y476" t="str">
        <f>IF(C476="","",IF(InventoryTable[[#This Row],[Stock Balance]]&lt;=0,"Sold Out",IF((InventoryTable[[#This Row],[Stock Balance]]/InventoryTable[[#This Row],[Total Pieces]])&lt;=0.25,"Low on Stocks","Available")))</f>
        <v/>
      </c>
    </row>
    <row r="477" spans="1:25" x14ac:dyDescent="0.3">
      <c r="A477" t="str">
        <f>IF(C477="","",_xlfn.CONCAT(LEFT(InventoryTable[[#This Row],[Category]],1),InventoryTable[[#This Row],[Product Pricing Type]],ROW()))</f>
        <v/>
      </c>
      <c r="H477" t="str">
        <f t="shared" si="67"/>
        <v/>
      </c>
      <c r="K477" t="str">
        <f t="shared" si="68"/>
        <v/>
      </c>
      <c r="N477" t="str">
        <f t="shared" si="69"/>
        <v/>
      </c>
      <c r="P477" t="str">
        <f t="shared" si="70"/>
        <v/>
      </c>
      <c r="Q477" s="4" t="str">
        <f t="shared" si="71"/>
        <v/>
      </c>
      <c r="R477" t="str">
        <f t="shared" si="72"/>
        <v/>
      </c>
      <c r="S477" t="str">
        <f t="shared" si="73"/>
        <v/>
      </c>
      <c r="T477" t="str">
        <f>IF(C477="","",InventoryTable[[#This Row],[Profit per Unit]]*InventoryTable[[#This Row],[Total Pieces]])</f>
        <v/>
      </c>
      <c r="U477" t="str">
        <f t="shared" si="74"/>
        <v/>
      </c>
      <c r="V477" t="str">
        <f>IF(C477="","",H477-InventoryTable[[#This Row],[Units Sold]])</f>
        <v/>
      </c>
      <c r="W477" t="str">
        <f t="shared" si="75"/>
        <v/>
      </c>
      <c r="X477" t="str">
        <f t="shared" si="76"/>
        <v/>
      </c>
      <c r="Y477" t="str">
        <f>IF(C477="","",IF(InventoryTable[[#This Row],[Stock Balance]]&lt;=0,"Sold Out",IF((InventoryTable[[#This Row],[Stock Balance]]/InventoryTable[[#This Row],[Total Pieces]])&lt;=0.25,"Low on Stocks","Available")))</f>
        <v/>
      </c>
    </row>
    <row r="478" spans="1:25" x14ac:dyDescent="0.3">
      <c r="A478" t="str">
        <f>IF(C478="","",_xlfn.CONCAT(LEFT(InventoryTable[[#This Row],[Category]],1),InventoryTable[[#This Row],[Product Pricing Type]],ROW()))</f>
        <v/>
      </c>
      <c r="H478" t="str">
        <f t="shared" si="67"/>
        <v/>
      </c>
      <c r="K478" t="str">
        <f t="shared" si="68"/>
        <v/>
      </c>
      <c r="N478" t="str">
        <f t="shared" si="69"/>
        <v/>
      </c>
      <c r="P478" t="str">
        <f t="shared" si="70"/>
        <v/>
      </c>
      <c r="Q478" s="4" t="str">
        <f t="shared" si="71"/>
        <v/>
      </c>
      <c r="R478" t="str">
        <f t="shared" si="72"/>
        <v/>
      </c>
      <c r="S478" t="str">
        <f t="shared" si="73"/>
        <v/>
      </c>
      <c r="T478" t="str">
        <f>IF(C478="","",InventoryTable[[#This Row],[Profit per Unit]]*InventoryTable[[#This Row],[Total Pieces]])</f>
        <v/>
      </c>
      <c r="U478" t="str">
        <f t="shared" si="74"/>
        <v/>
      </c>
      <c r="V478" t="str">
        <f>IF(C478="","",H478-InventoryTable[[#This Row],[Units Sold]])</f>
        <v/>
      </c>
      <c r="W478" t="str">
        <f t="shared" si="75"/>
        <v/>
      </c>
      <c r="X478" t="str">
        <f t="shared" si="76"/>
        <v/>
      </c>
      <c r="Y478" t="str">
        <f>IF(C478="","",IF(InventoryTable[[#This Row],[Stock Balance]]&lt;=0,"Sold Out",IF((InventoryTable[[#This Row],[Stock Balance]]/InventoryTable[[#This Row],[Total Pieces]])&lt;=0.25,"Low on Stocks","Available")))</f>
        <v/>
      </c>
    </row>
    <row r="479" spans="1:25" x14ac:dyDescent="0.3">
      <c r="A479" t="str">
        <f>IF(C479="","",_xlfn.CONCAT(LEFT(InventoryTable[[#This Row],[Category]],1),InventoryTable[[#This Row],[Product Pricing Type]],ROW()))</f>
        <v/>
      </c>
      <c r="H479" t="str">
        <f t="shared" si="67"/>
        <v/>
      </c>
      <c r="K479" t="str">
        <f t="shared" si="68"/>
        <v/>
      </c>
      <c r="N479" t="str">
        <f t="shared" si="69"/>
        <v/>
      </c>
      <c r="P479" t="str">
        <f t="shared" si="70"/>
        <v/>
      </c>
      <c r="Q479" s="4" t="str">
        <f t="shared" si="71"/>
        <v/>
      </c>
      <c r="R479" t="str">
        <f t="shared" si="72"/>
        <v/>
      </c>
      <c r="S479" t="str">
        <f t="shared" si="73"/>
        <v/>
      </c>
      <c r="T479" t="str">
        <f>IF(C479="","",InventoryTable[[#This Row],[Profit per Unit]]*InventoryTable[[#This Row],[Total Pieces]])</f>
        <v/>
      </c>
      <c r="U479" t="str">
        <f t="shared" si="74"/>
        <v/>
      </c>
      <c r="V479" t="str">
        <f>IF(C479="","",H479-InventoryTable[[#This Row],[Units Sold]])</f>
        <v/>
      </c>
      <c r="W479" t="str">
        <f t="shared" si="75"/>
        <v/>
      </c>
      <c r="X479" t="str">
        <f t="shared" si="76"/>
        <v/>
      </c>
      <c r="Y479" t="str">
        <f>IF(C479="","",IF(InventoryTable[[#This Row],[Stock Balance]]&lt;=0,"Sold Out",IF((InventoryTable[[#This Row],[Stock Balance]]/InventoryTable[[#This Row],[Total Pieces]])&lt;=0.25,"Low on Stocks","Available")))</f>
        <v/>
      </c>
    </row>
    <row r="480" spans="1:25" x14ac:dyDescent="0.3">
      <c r="A480" t="str">
        <f>IF(C480="","",_xlfn.CONCAT(LEFT(InventoryTable[[#This Row],[Category]],1),InventoryTable[[#This Row],[Product Pricing Type]],ROW()))</f>
        <v/>
      </c>
      <c r="H480" t="str">
        <f t="shared" si="67"/>
        <v/>
      </c>
      <c r="K480" t="str">
        <f t="shared" si="68"/>
        <v/>
      </c>
      <c r="N480" t="str">
        <f t="shared" si="69"/>
        <v/>
      </c>
      <c r="P480" t="str">
        <f t="shared" si="70"/>
        <v/>
      </c>
      <c r="Q480" s="4" t="str">
        <f t="shared" si="71"/>
        <v/>
      </c>
      <c r="R480" t="str">
        <f t="shared" si="72"/>
        <v/>
      </c>
      <c r="S480" t="str">
        <f t="shared" si="73"/>
        <v/>
      </c>
      <c r="T480" t="str">
        <f>IF(C480="","",InventoryTable[[#This Row],[Profit per Unit]]*InventoryTable[[#This Row],[Total Pieces]])</f>
        <v/>
      </c>
      <c r="U480" t="str">
        <f t="shared" si="74"/>
        <v/>
      </c>
      <c r="V480" t="str">
        <f>IF(C480="","",H480-InventoryTable[[#This Row],[Units Sold]])</f>
        <v/>
      </c>
      <c r="W480" t="str">
        <f t="shared" si="75"/>
        <v/>
      </c>
      <c r="X480" t="str">
        <f t="shared" si="76"/>
        <v/>
      </c>
      <c r="Y480" t="str">
        <f>IF(C480="","",IF(InventoryTable[[#This Row],[Stock Balance]]&lt;=0,"Sold Out",IF((InventoryTable[[#This Row],[Stock Balance]]/InventoryTable[[#This Row],[Total Pieces]])&lt;=0.25,"Low on Stocks","Available")))</f>
        <v/>
      </c>
    </row>
    <row r="481" spans="1:25" x14ac:dyDescent="0.3">
      <c r="A481" t="str">
        <f>IF(C481="","",_xlfn.CONCAT(LEFT(InventoryTable[[#This Row],[Category]],1),InventoryTable[[#This Row],[Product Pricing Type]],ROW()))</f>
        <v/>
      </c>
      <c r="H481" t="str">
        <f t="shared" ref="H481:H544" si="77">IF(C481="","",G481*F481)</f>
        <v/>
      </c>
      <c r="K481" t="str">
        <f t="shared" ref="K481:K544" si="78">IF(C481="","",IF(J481=1,I481/H481,I481*G481*F481))</f>
        <v/>
      </c>
      <c r="N481" t="str">
        <f t="shared" ref="N481:N544" si="79">IF(C481="","",IF(J481=1,K481+(K481*M481),I481+(I481*M481)))</f>
        <v/>
      </c>
      <c r="P481" t="str">
        <f t="shared" ref="P481:P544" si="80">IF(C481="","",N481+(N481*O481))</f>
        <v/>
      </c>
      <c r="Q481" s="4" t="str">
        <f t="shared" ref="Q481:Q544" si="81">IF(C481="","",ROUNDUP(P481,0))</f>
        <v/>
      </c>
      <c r="R481" t="str">
        <f t="shared" ref="R481:R544" si="82">IF(C481="","")</f>
        <v/>
      </c>
      <c r="S481" t="str">
        <f t="shared" ref="S481:S544" si="83">IF(C481="","",IF(COUNTIF(C481,"*Fixed*")&gt;0,(K481-R481)/H481,IF(J481=1,Q481-K481,Q481-I481)))</f>
        <v/>
      </c>
      <c r="T481" t="str">
        <f>IF(C481="","",InventoryTable[[#This Row],[Profit per Unit]]*InventoryTable[[#This Row],[Total Pieces]])</f>
        <v/>
      </c>
      <c r="U481" t="str">
        <f t="shared" si="74"/>
        <v/>
      </c>
      <c r="V481" t="str">
        <f>IF(C481="","",H481-InventoryTable[[#This Row],[Units Sold]])</f>
        <v/>
      </c>
      <c r="W481" t="str">
        <f t="shared" si="75"/>
        <v/>
      </c>
      <c r="X481" t="str">
        <f t="shared" si="76"/>
        <v/>
      </c>
      <c r="Y481" t="str">
        <f>IF(C481="","",IF(InventoryTable[[#This Row],[Stock Balance]]&lt;=0,"Sold Out",IF((InventoryTable[[#This Row],[Stock Balance]]/InventoryTable[[#This Row],[Total Pieces]])&lt;=0.25,"Low on Stocks","Available")))</f>
        <v/>
      </c>
    </row>
    <row r="482" spans="1:25" x14ac:dyDescent="0.3">
      <c r="A482" t="str">
        <f>IF(C482="","",_xlfn.CONCAT(LEFT(InventoryTable[[#This Row],[Category]],1),InventoryTable[[#This Row],[Product Pricing Type]],ROW()))</f>
        <v/>
      </c>
      <c r="H482" t="str">
        <f t="shared" si="77"/>
        <v/>
      </c>
      <c r="K482" t="str">
        <f t="shared" si="78"/>
        <v/>
      </c>
      <c r="N482" t="str">
        <f t="shared" si="79"/>
        <v/>
      </c>
      <c r="P482" t="str">
        <f t="shared" si="80"/>
        <v/>
      </c>
      <c r="Q482" s="4" t="str">
        <f t="shared" si="81"/>
        <v/>
      </c>
      <c r="R482" t="str">
        <f t="shared" si="82"/>
        <v/>
      </c>
      <c r="S482" t="str">
        <f t="shared" si="83"/>
        <v/>
      </c>
      <c r="T482" t="str">
        <f>IF(C482="","",InventoryTable[[#This Row],[Profit per Unit]]*InventoryTable[[#This Row],[Total Pieces]])</f>
        <v/>
      </c>
      <c r="U482" t="str">
        <f t="shared" si="74"/>
        <v/>
      </c>
      <c r="V482" t="str">
        <f>IF(C482="","",H482-InventoryTable[[#This Row],[Units Sold]])</f>
        <v/>
      </c>
      <c r="W482" t="str">
        <f t="shared" si="75"/>
        <v/>
      </c>
      <c r="X482" t="str">
        <f t="shared" si="76"/>
        <v/>
      </c>
      <c r="Y482" t="str">
        <f>IF(C482="","",IF(InventoryTable[[#This Row],[Stock Balance]]&lt;=0,"Sold Out",IF((InventoryTable[[#This Row],[Stock Balance]]/InventoryTable[[#This Row],[Total Pieces]])&lt;=0.25,"Low on Stocks","Available")))</f>
        <v/>
      </c>
    </row>
    <row r="483" spans="1:25" x14ac:dyDescent="0.3">
      <c r="A483" t="str">
        <f>IF(C483="","",_xlfn.CONCAT(LEFT(InventoryTable[[#This Row],[Category]],1),InventoryTable[[#This Row],[Product Pricing Type]],ROW()))</f>
        <v/>
      </c>
      <c r="H483" t="str">
        <f t="shared" si="77"/>
        <v/>
      </c>
      <c r="K483" t="str">
        <f t="shared" si="78"/>
        <v/>
      </c>
      <c r="N483" t="str">
        <f t="shared" si="79"/>
        <v/>
      </c>
      <c r="P483" t="str">
        <f t="shared" si="80"/>
        <v/>
      </c>
      <c r="Q483" s="4" t="str">
        <f t="shared" si="81"/>
        <v/>
      </c>
      <c r="R483" t="str">
        <f t="shared" si="82"/>
        <v/>
      </c>
      <c r="S483" t="str">
        <f t="shared" si="83"/>
        <v/>
      </c>
      <c r="T483" t="str">
        <f>IF(C483="","",InventoryTable[[#This Row],[Profit per Unit]]*InventoryTable[[#This Row],[Total Pieces]])</f>
        <v/>
      </c>
      <c r="U483" t="str">
        <f t="shared" si="74"/>
        <v/>
      </c>
      <c r="V483" t="str">
        <f>IF(C483="","",H483-InventoryTable[[#This Row],[Units Sold]])</f>
        <v/>
      </c>
      <c r="W483" t="str">
        <f t="shared" si="75"/>
        <v/>
      </c>
      <c r="X483" t="str">
        <f t="shared" si="76"/>
        <v/>
      </c>
      <c r="Y483" t="str">
        <f>IF(C483="","",IF(InventoryTable[[#This Row],[Stock Balance]]&lt;=0,"Sold Out",IF((InventoryTable[[#This Row],[Stock Balance]]/InventoryTable[[#This Row],[Total Pieces]])&lt;=0.25,"Low on Stocks","Available")))</f>
        <v/>
      </c>
    </row>
    <row r="484" spans="1:25" x14ac:dyDescent="0.3">
      <c r="A484" t="str">
        <f>IF(C484="","",_xlfn.CONCAT(LEFT(InventoryTable[[#This Row],[Category]],1),InventoryTable[[#This Row],[Product Pricing Type]],ROW()))</f>
        <v/>
      </c>
      <c r="H484" t="str">
        <f t="shared" si="77"/>
        <v/>
      </c>
      <c r="K484" t="str">
        <f t="shared" si="78"/>
        <v/>
      </c>
      <c r="N484" t="str">
        <f t="shared" si="79"/>
        <v/>
      </c>
      <c r="P484" t="str">
        <f t="shared" si="80"/>
        <v/>
      </c>
      <c r="Q484" s="4" t="str">
        <f t="shared" si="81"/>
        <v/>
      </c>
      <c r="R484" t="str">
        <f t="shared" si="82"/>
        <v/>
      </c>
      <c r="S484" t="str">
        <f t="shared" si="83"/>
        <v/>
      </c>
      <c r="T484" t="str">
        <f>IF(C484="","",InventoryTable[[#This Row],[Profit per Unit]]*InventoryTable[[#This Row],[Total Pieces]])</f>
        <v/>
      </c>
      <c r="U484" t="str">
        <f t="shared" si="74"/>
        <v/>
      </c>
      <c r="V484" t="str">
        <f>IF(C484="","",H484-InventoryTable[[#This Row],[Units Sold]])</f>
        <v/>
      </c>
      <c r="W484" t="str">
        <f t="shared" si="75"/>
        <v/>
      </c>
      <c r="X484" t="str">
        <f t="shared" si="76"/>
        <v/>
      </c>
      <c r="Y484" t="str">
        <f>IF(C484="","",IF(InventoryTable[[#This Row],[Stock Balance]]&lt;=0,"Sold Out",IF((InventoryTable[[#This Row],[Stock Balance]]/InventoryTable[[#This Row],[Total Pieces]])&lt;=0.25,"Low on Stocks","Available")))</f>
        <v/>
      </c>
    </row>
    <row r="485" spans="1:25" x14ac:dyDescent="0.3">
      <c r="A485" t="str">
        <f>IF(C485="","",_xlfn.CONCAT(LEFT(InventoryTable[[#This Row],[Category]],1),InventoryTable[[#This Row],[Product Pricing Type]],ROW()))</f>
        <v/>
      </c>
      <c r="H485" t="str">
        <f t="shared" si="77"/>
        <v/>
      </c>
      <c r="K485" t="str">
        <f t="shared" si="78"/>
        <v/>
      </c>
      <c r="N485" t="str">
        <f t="shared" si="79"/>
        <v/>
      </c>
      <c r="P485" t="str">
        <f t="shared" si="80"/>
        <v/>
      </c>
      <c r="Q485" s="4" t="str">
        <f t="shared" si="81"/>
        <v/>
      </c>
      <c r="R485" t="str">
        <f t="shared" si="82"/>
        <v/>
      </c>
      <c r="S485" t="str">
        <f t="shared" si="83"/>
        <v/>
      </c>
      <c r="T485" t="str">
        <f>IF(C485="","",InventoryTable[[#This Row],[Profit per Unit]]*InventoryTable[[#This Row],[Total Pieces]])</f>
        <v/>
      </c>
      <c r="U485" t="str">
        <f t="shared" si="74"/>
        <v/>
      </c>
      <c r="V485" t="str">
        <f>IF(C485="","",H485-InventoryTable[[#This Row],[Units Sold]])</f>
        <v/>
      </c>
      <c r="W485" t="str">
        <f t="shared" si="75"/>
        <v/>
      </c>
      <c r="X485" t="str">
        <f t="shared" si="76"/>
        <v/>
      </c>
      <c r="Y485" t="str">
        <f>IF(C485="","",IF(InventoryTable[[#This Row],[Stock Balance]]&lt;=0,"Sold Out",IF((InventoryTable[[#This Row],[Stock Balance]]/InventoryTable[[#This Row],[Total Pieces]])&lt;=0.25,"Low on Stocks","Available")))</f>
        <v/>
      </c>
    </row>
    <row r="486" spans="1:25" x14ac:dyDescent="0.3">
      <c r="A486" t="str">
        <f>IF(C486="","",_xlfn.CONCAT(LEFT(InventoryTable[[#This Row],[Category]],1),InventoryTable[[#This Row],[Product Pricing Type]],ROW()))</f>
        <v/>
      </c>
      <c r="H486" t="str">
        <f t="shared" si="77"/>
        <v/>
      </c>
      <c r="K486" t="str">
        <f t="shared" si="78"/>
        <v/>
      </c>
      <c r="N486" t="str">
        <f t="shared" si="79"/>
        <v/>
      </c>
      <c r="P486" t="str">
        <f t="shared" si="80"/>
        <v/>
      </c>
      <c r="Q486" s="4" t="str">
        <f t="shared" si="81"/>
        <v/>
      </c>
      <c r="R486" t="str">
        <f t="shared" si="82"/>
        <v/>
      </c>
      <c r="S486" t="str">
        <f t="shared" si="83"/>
        <v/>
      </c>
      <c r="T486" t="str">
        <f>IF(C486="","",InventoryTable[[#This Row],[Profit per Unit]]*InventoryTable[[#This Row],[Total Pieces]])</f>
        <v/>
      </c>
      <c r="U486" t="str">
        <f t="shared" si="74"/>
        <v/>
      </c>
      <c r="V486" t="str">
        <f>IF(C486="","",H486-InventoryTable[[#This Row],[Units Sold]])</f>
        <v/>
      </c>
      <c r="W486" t="str">
        <f t="shared" si="75"/>
        <v/>
      </c>
      <c r="X486" t="str">
        <f t="shared" si="76"/>
        <v/>
      </c>
      <c r="Y486" t="str">
        <f>IF(C486="","",IF(InventoryTable[[#This Row],[Stock Balance]]&lt;=0,"Sold Out",IF((InventoryTable[[#This Row],[Stock Balance]]/InventoryTable[[#This Row],[Total Pieces]])&lt;=0.25,"Low on Stocks","Available")))</f>
        <v/>
      </c>
    </row>
    <row r="487" spans="1:25" x14ac:dyDescent="0.3">
      <c r="A487" t="str">
        <f>IF(C487="","",_xlfn.CONCAT(LEFT(InventoryTable[[#This Row],[Category]],1),InventoryTable[[#This Row],[Product Pricing Type]],ROW()))</f>
        <v/>
      </c>
      <c r="H487" t="str">
        <f t="shared" si="77"/>
        <v/>
      </c>
      <c r="K487" t="str">
        <f t="shared" si="78"/>
        <v/>
      </c>
      <c r="N487" t="str">
        <f t="shared" si="79"/>
        <v/>
      </c>
      <c r="P487" t="str">
        <f t="shared" si="80"/>
        <v/>
      </c>
      <c r="Q487" s="4" t="str">
        <f t="shared" si="81"/>
        <v/>
      </c>
      <c r="R487" t="str">
        <f t="shared" si="82"/>
        <v/>
      </c>
      <c r="S487" t="str">
        <f t="shared" si="83"/>
        <v/>
      </c>
      <c r="T487" t="str">
        <f>IF(C487="","",InventoryTable[[#This Row],[Profit per Unit]]*InventoryTable[[#This Row],[Total Pieces]])</f>
        <v/>
      </c>
      <c r="U487" t="str">
        <f t="shared" si="74"/>
        <v/>
      </c>
      <c r="V487" t="str">
        <f>IF(C487="","",H487-InventoryTable[[#This Row],[Units Sold]])</f>
        <v/>
      </c>
      <c r="W487" t="str">
        <f t="shared" si="75"/>
        <v/>
      </c>
      <c r="X487" t="str">
        <f t="shared" si="76"/>
        <v/>
      </c>
      <c r="Y487" t="str">
        <f>IF(C487="","",IF(InventoryTable[[#This Row],[Stock Balance]]&lt;=0,"Sold Out",IF((InventoryTable[[#This Row],[Stock Balance]]/InventoryTable[[#This Row],[Total Pieces]])&lt;=0.25,"Low on Stocks","Available")))</f>
        <v/>
      </c>
    </row>
    <row r="488" spans="1:25" x14ac:dyDescent="0.3">
      <c r="A488" t="str">
        <f>IF(C488="","",_xlfn.CONCAT(LEFT(InventoryTable[[#This Row],[Category]],1),InventoryTable[[#This Row],[Product Pricing Type]],ROW()))</f>
        <v/>
      </c>
      <c r="H488" t="str">
        <f t="shared" si="77"/>
        <v/>
      </c>
      <c r="K488" t="str">
        <f t="shared" si="78"/>
        <v/>
      </c>
      <c r="N488" t="str">
        <f t="shared" si="79"/>
        <v/>
      </c>
      <c r="P488" t="str">
        <f t="shared" si="80"/>
        <v/>
      </c>
      <c r="Q488" s="4" t="str">
        <f t="shared" si="81"/>
        <v/>
      </c>
      <c r="R488" t="str">
        <f t="shared" si="82"/>
        <v/>
      </c>
      <c r="S488" t="str">
        <f t="shared" si="83"/>
        <v/>
      </c>
      <c r="T488" t="str">
        <f>IF(C488="","",InventoryTable[[#This Row],[Profit per Unit]]*InventoryTable[[#This Row],[Total Pieces]])</f>
        <v/>
      </c>
      <c r="U488" t="str">
        <f t="shared" si="74"/>
        <v/>
      </c>
      <c r="V488" t="str">
        <f>IF(C488="","",H488-InventoryTable[[#This Row],[Units Sold]])</f>
        <v/>
      </c>
      <c r="W488" t="str">
        <f t="shared" si="75"/>
        <v/>
      </c>
      <c r="X488" t="str">
        <f t="shared" si="76"/>
        <v/>
      </c>
      <c r="Y488" t="str">
        <f>IF(C488="","",IF(InventoryTable[[#This Row],[Stock Balance]]&lt;=0,"Sold Out",IF((InventoryTable[[#This Row],[Stock Balance]]/InventoryTable[[#This Row],[Total Pieces]])&lt;=0.25,"Low on Stocks","Available")))</f>
        <v/>
      </c>
    </row>
    <row r="489" spans="1:25" x14ac:dyDescent="0.3">
      <c r="A489" t="str">
        <f>IF(C489="","",_xlfn.CONCAT(LEFT(InventoryTable[[#This Row],[Category]],1),InventoryTable[[#This Row],[Product Pricing Type]],ROW()))</f>
        <v/>
      </c>
      <c r="H489" t="str">
        <f t="shared" si="77"/>
        <v/>
      </c>
      <c r="K489" t="str">
        <f t="shared" si="78"/>
        <v/>
      </c>
      <c r="N489" t="str">
        <f t="shared" si="79"/>
        <v/>
      </c>
      <c r="P489" t="str">
        <f t="shared" si="80"/>
        <v/>
      </c>
      <c r="Q489" s="4" t="str">
        <f t="shared" si="81"/>
        <v/>
      </c>
      <c r="R489" t="str">
        <f t="shared" si="82"/>
        <v/>
      </c>
      <c r="S489" t="str">
        <f t="shared" si="83"/>
        <v/>
      </c>
      <c r="T489" t="str">
        <f>IF(C489="","",InventoryTable[[#This Row],[Profit per Unit]]*InventoryTable[[#This Row],[Total Pieces]])</f>
        <v/>
      </c>
      <c r="U489" t="str">
        <f t="shared" si="74"/>
        <v/>
      </c>
      <c r="V489" t="str">
        <f>IF(C489="","",H489-InventoryTable[[#This Row],[Units Sold]])</f>
        <v/>
      </c>
      <c r="W489" t="str">
        <f t="shared" si="75"/>
        <v/>
      </c>
      <c r="X489" t="str">
        <f t="shared" si="76"/>
        <v/>
      </c>
      <c r="Y489" t="str">
        <f>IF(C489="","",IF(InventoryTable[[#This Row],[Stock Balance]]&lt;=0,"Sold Out",IF((InventoryTable[[#This Row],[Stock Balance]]/InventoryTable[[#This Row],[Total Pieces]])&lt;=0.25,"Low on Stocks","Available")))</f>
        <v/>
      </c>
    </row>
    <row r="490" spans="1:25" x14ac:dyDescent="0.3">
      <c r="A490" t="str">
        <f>IF(C490="","",_xlfn.CONCAT(LEFT(InventoryTable[[#This Row],[Category]],1),InventoryTable[[#This Row],[Product Pricing Type]],ROW()))</f>
        <v/>
      </c>
      <c r="H490" t="str">
        <f t="shared" si="77"/>
        <v/>
      </c>
      <c r="K490" t="str">
        <f t="shared" si="78"/>
        <v/>
      </c>
      <c r="N490" t="str">
        <f t="shared" si="79"/>
        <v/>
      </c>
      <c r="P490" t="str">
        <f t="shared" si="80"/>
        <v/>
      </c>
      <c r="Q490" s="4" t="str">
        <f t="shared" si="81"/>
        <v/>
      </c>
      <c r="R490" t="str">
        <f t="shared" si="82"/>
        <v/>
      </c>
      <c r="S490" t="str">
        <f t="shared" si="83"/>
        <v/>
      </c>
      <c r="T490" t="str">
        <f>IF(C490="","",InventoryTable[[#This Row],[Profit per Unit]]*InventoryTable[[#This Row],[Total Pieces]])</f>
        <v/>
      </c>
      <c r="U490" t="str">
        <f t="shared" si="74"/>
        <v/>
      </c>
      <c r="V490" t="str">
        <f>IF(C490="","",H490-InventoryTable[[#This Row],[Units Sold]])</f>
        <v/>
      </c>
      <c r="W490" t="str">
        <f t="shared" si="75"/>
        <v/>
      </c>
      <c r="X490" t="str">
        <f t="shared" si="76"/>
        <v/>
      </c>
      <c r="Y490" t="str">
        <f>IF(C490="","",IF(InventoryTable[[#This Row],[Stock Balance]]&lt;=0,"Sold Out",IF((InventoryTable[[#This Row],[Stock Balance]]/InventoryTable[[#This Row],[Total Pieces]])&lt;=0.25,"Low on Stocks","Available")))</f>
        <v/>
      </c>
    </row>
    <row r="491" spans="1:25" x14ac:dyDescent="0.3">
      <c r="A491" t="str">
        <f>IF(C491="","",_xlfn.CONCAT(LEFT(InventoryTable[[#This Row],[Category]],1),InventoryTable[[#This Row],[Product Pricing Type]],ROW()))</f>
        <v/>
      </c>
      <c r="H491" t="str">
        <f t="shared" si="77"/>
        <v/>
      </c>
      <c r="K491" t="str">
        <f t="shared" si="78"/>
        <v/>
      </c>
      <c r="N491" t="str">
        <f t="shared" si="79"/>
        <v/>
      </c>
      <c r="P491" t="str">
        <f t="shared" si="80"/>
        <v/>
      </c>
      <c r="Q491" s="4" t="str">
        <f t="shared" si="81"/>
        <v/>
      </c>
      <c r="R491" t="str">
        <f t="shared" si="82"/>
        <v/>
      </c>
      <c r="S491" t="str">
        <f t="shared" si="83"/>
        <v/>
      </c>
      <c r="T491" t="str">
        <f>IF(C491="","",InventoryTable[[#This Row],[Profit per Unit]]*InventoryTable[[#This Row],[Total Pieces]])</f>
        <v/>
      </c>
      <c r="U491" t="str">
        <f t="shared" si="74"/>
        <v/>
      </c>
      <c r="V491" t="str">
        <f>IF(C491="","",H491-InventoryTable[[#This Row],[Units Sold]])</f>
        <v/>
      </c>
      <c r="W491" t="str">
        <f t="shared" si="75"/>
        <v/>
      </c>
      <c r="X491" t="str">
        <f t="shared" si="76"/>
        <v/>
      </c>
      <c r="Y491" t="str">
        <f>IF(C491="","",IF(InventoryTable[[#This Row],[Stock Balance]]&lt;=0,"Sold Out",IF((InventoryTable[[#This Row],[Stock Balance]]/InventoryTable[[#This Row],[Total Pieces]])&lt;=0.25,"Low on Stocks","Available")))</f>
        <v/>
      </c>
    </row>
    <row r="492" spans="1:25" x14ac:dyDescent="0.3">
      <c r="A492" t="str">
        <f>IF(C492="","",_xlfn.CONCAT(LEFT(InventoryTable[[#This Row],[Category]],1),InventoryTable[[#This Row],[Product Pricing Type]],ROW()))</f>
        <v/>
      </c>
      <c r="H492" t="str">
        <f t="shared" si="77"/>
        <v/>
      </c>
      <c r="K492" t="str">
        <f t="shared" si="78"/>
        <v/>
      </c>
      <c r="N492" t="str">
        <f t="shared" si="79"/>
        <v/>
      </c>
      <c r="P492" t="str">
        <f t="shared" si="80"/>
        <v/>
      </c>
      <c r="Q492" s="4" t="str">
        <f t="shared" si="81"/>
        <v/>
      </c>
      <c r="R492" t="str">
        <f t="shared" si="82"/>
        <v/>
      </c>
      <c r="S492" t="str">
        <f t="shared" si="83"/>
        <v/>
      </c>
      <c r="T492" t="str">
        <f>IF(C492="","",InventoryTable[[#This Row],[Profit per Unit]]*InventoryTable[[#This Row],[Total Pieces]])</f>
        <v/>
      </c>
      <c r="U492" t="str">
        <f t="shared" si="74"/>
        <v/>
      </c>
      <c r="V492" t="str">
        <f>IF(C492="","",H492-InventoryTable[[#This Row],[Units Sold]])</f>
        <v/>
      </c>
      <c r="W492" t="str">
        <f t="shared" si="75"/>
        <v/>
      </c>
      <c r="X492" t="str">
        <f t="shared" si="76"/>
        <v/>
      </c>
      <c r="Y492" t="str">
        <f>IF(C492="","",IF(InventoryTable[[#This Row],[Stock Balance]]&lt;=0,"Sold Out",IF((InventoryTable[[#This Row],[Stock Balance]]/InventoryTable[[#This Row],[Total Pieces]])&lt;=0.25,"Low on Stocks","Available")))</f>
        <v/>
      </c>
    </row>
    <row r="493" spans="1:25" x14ac:dyDescent="0.3">
      <c r="A493" t="str">
        <f>IF(C493="","",_xlfn.CONCAT(LEFT(InventoryTable[[#This Row],[Category]],1),InventoryTable[[#This Row],[Product Pricing Type]],ROW()))</f>
        <v/>
      </c>
      <c r="H493" t="str">
        <f t="shared" si="77"/>
        <v/>
      </c>
      <c r="K493" t="str">
        <f t="shared" si="78"/>
        <v/>
      </c>
      <c r="N493" t="str">
        <f t="shared" si="79"/>
        <v/>
      </c>
      <c r="P493" t="str">
        <f t="shared" si="80"/>
        <v/>
      </c>
      <c r="Q493" s="4" t="str">
        <f t="shared" si="81"/>
        <v/>
      </c>
      <c r="R493" t="str">
        <f t="shared" si="82"/>
        <v/>
      </c>
      <c r="S493" t="str">
        <f t="shared" si="83"/>
        <v/>
      </c>
      <c r="T493" t="str">
        <f>IF(C493="","",InventoryTable[[#This Row],[Profit per Unit]]*InventoryTable[[#This Row],[Total Pieces]])</f>
        <v/>
      </c>
      <c r="U493" t="str">
        <f t="shared" si="74"/>
        <v/>
      </c>
      <c r="V493" t="str">
        <f>IF(C493="","",H493-InventoryTable[[#This Row],[Units Sold]])</f>
        <v/>
      </c>
      <c r="W493" t="str">
        <f t="shared" si="75"/>
        <v/>
      </c>
      <c r="X493" t="str">
        <f t="shared" si="76"/>
        <v/>
      </c>
      <c r="Y493" t="str">
        <f>IF(C493="","",IF(InventoryTable[[#This Row],[Stock Balance]]&lt;=0,"Sold Out",IF((InventoryTable[[#This Row],[Stock Balance]]/InventoryTable[[#This Row],[Total Pieces]])&lt;=0.25,"Low on Stocks","Available")))</f>
        <v/>
      </c>
    </row>
    <row r="494" spans="1:25" x14ac:dyDescent="0.3">
      <c r="A494" t="str">
        <f>IF(C494="","",_xlfn.CONCAT(LEFT(InventoryTable[[#This Row],[Category]],1),InventoryTable[[#This Row],[Product Pricing Type]],ROW()))</f>
        <v/>
      </c>
      <c r="H494" t="str">
        <f t="shared" si="77"/>
        <v/>
      </c>
      <c r="K494" t="str">
        <f t="shared" si="78"/>
        <v/>
      </c>
      <c r="N494" t="str">
        <f t="shared" si="79"/>
        <v/>
      </c>
      <c r="P494" t="str">
        <f t="shared" si="80"/>
        <v/>
      </c>
      <c r="Q494" s="4" t="str">
        <f t="shared" si="81"/>
        <v/>
      </c>
      <c r="R494" t="str">
        <f t="shared" si="82"/>
        <v/>
      </c>
      <c r="S494" t="str">
        <f t="shared" si="83"/>
        <v/>
      </c>
      <c r="T494" t="str">
        <f>IF(C494="","",InventoryTable[[#This Row],[Profit per Unit]]*InventoryTable[[#This Row],[Total Pieces]])</f>
        <v/>
      </c>
      <c r="U494" t="str">
        <f t="shared" si="74"/>
        <v/>
      </c>
      <c r="V494" t="str">
        <f>IF(C494="","",H494-InventoryTable[[#This Row],[Units Sold]])</f>
        <v/>
      </c>
      <c r="W494" t="str">
        <f t="shared" si="75"/>
        <v/>
      </c>
      <c r="X494" t="str">
        <f t="shared" si="76"/>
        <v/>
      </c>
      <c r="Y494" t="str">
        <f>IF(C494="","",IF(InventoryTable[[#This Row],[Stock Balance]]&lt;=0,"Sold Out",IF((InventoryTable[[#This Row],[Stock Balance]]/InventoryTable[[#This Row],[Total Pieces]])&lt;=0.25,"Low on Stocks","Available")))</f>
        <v/>
      </c>
    </row>
    <row r="495" spans="1:25" x14ac:dyDescent="0.3">
      <c r="A495" t="str">
        <f>IF(C495="","",_xlfn.CONCAT(LEFT(InventoryTable[[#This Row],[Category]],1),InventoryTable[[#This Row],[Product Pricing Type]],ROW()))</f>
        <v/>
      </c>
      <c r="H495" t="str">
        <f t="shared" si="77"/>
        <v/>
      </c>
      <c r="K495" t="str">
        <f t="shared" si="78"/>
        <v/>
      </c>
      <c r="N495" t="str">
        <f t="shared" si="79"/>
        <v/>
      </c>
      <c r="P495" t="str">
        <f t="shared" si="80"/>
        <v/>
      </c>
      <c r="Q495" s="4" t="str">
        <f t="shared" si="81"/>
        <v/>
      </c>
      <c r="R495" t="str">
        <f t="shared" si="82"/>
        <v/>
      </c>
      <c r="S495" t="str">
        <f t="shared" si="83"/>
        <v/>
      </c>
      <c r="T495" t="str">
        <f>IF(C495="","",InventoryTable[[#This Row],[Profit per Unit]]*InventoryTable[[#This Row],[Total Pieces]])</f>
        <v/>
      </c>
      <c r="U495" t="str">
        <f t="shared" si="74"/>
        <v/>
      </c>
      <c r="V495" t="str">
        <f>IF(C495="","",H495-InventoryTable[[#This Row],[Units Sold]])</f>
        <v/>
      </c>
      <c r="W495" t="str">
        <f t="shared" si="75"/>
        <v/>
      </c>
      <c r="X495" t="str">
        <f t="shared" si="76"/>
        <v/>
      </c>
      <c r="Y495" t="str">
        <f>IF(C495="","",IF(InventoryTable[[#This Row],[Stock Balance]]&lt;=0,"Sold Out",IF((InventoryTable[[#This Row],[Stock Balance]]/InventoryTable[[#This Row],[Total Pieces]])&lt;=0.25,"Low on Stocks","Available")))</f>
        <v/>
      </c>
    </row>
    <row r="496" spans="1:25" x14ac:dyDescent="0.3">
      <c r="A496" t="str">
        <f>IF(C496="","",_xlfn.CONCAT(LEFT(InventoryTable[[#This Row],[Category]],1),InventoryTable[[#This Row],[Product Pricing Type]],ROW()))</f>
        <v/>
      </c>
      <c r="H496" t="str">
        <f t="shared" si="77"/>
        <v/>
      </c>
      <c r="K496" t="str">
        <f t="shared" si="78"/>
        <v/>
      </c>
      <c r="N496" t="str">
        <f t="shared" si="79"/>
        <v/>
      </c>
      <c r="P496" t="str">
        <f t="shared" si="80"/>
        <v/>
      </c>
      <c r="Q496" s="4" t="str">
        <f t="shared" si="81"/>
        <v/>
      </c>
      <c r="R496" t="str">
        <f t="shared" si="82"/>
        <v/>
      </c>
      <c r="S496" t="str">
        <f t="shared" si="83"/>
        <v/>
      </c>
      <c r="T496" t="str">
        <f>IF(C496="","",InventoryTable[[#This Row],[Profit per Unit]]*InventoryTable[[#This Row],[Total Pieces]])</f>
        <v/>
      </c>
      <c r="U496" t="str">
        <f t="shared" si="74"/>
        <v/>
      </c>
      <c r="V496" t="str">
        <f>IF(C496="","",H496-InventoryTable[[#This Row],[Units Sold]])</f>
        <v/>
      </c>
      <c r="W496" t="str">
        <f t="shared" si="75"/>
        <v/>
      </c>
      <c r="X496" t="str">
        <f t="shared" si="76"/>
        <v/>
      </c>
      <c r="Y496" t="str">
        <f>IF(C496="","",IF(InventoryTable[[#This Row],[Stock Balance]]&lt;=0,"Sold Out",IF((InventoryTable[[#This Row],[Stock Balance]]/InventoryTable[[#This Row],[Total Pieces]])&lt;=0.25,"Low on Stocks","Available")))</f>
        <v/>
      </c>
    </row>
    <row r="497" spans="1:25" x14ac:dyDescent="0.3">
      <c r="A497" t="str">
        <f>IF(C497="","",_xlfn.CONCAT(LEFT(InventoryTable[[#This Row],[Category]],1),InventoryTable[[#This Row],[Product Pricing Type]],ROW()))</f>
        <v/>
      </c>
      <c r="H497" t="str">
        <f t="shared" si="77"/>
        <v/>
      </c>
      <c r="K497" t="str">
        <f t="shared" si="78"/>
        <v/>
      </c>
      <c r="N497" t="str">
        <f t="shared" si="79"/>
        <v/>
      </c>
      <c r="P497" t="str">
        <f t="shared" si="80"/>
        <v/>
      </c>
      <c r="Q497" s="4" t="str">
        <f t="shared" si="81"/>
        <v/>
      </c>
      <c r="R497" t="str">
        <f t="shared" si="82"/>
        <v/>
      </c>
      <c r="S497" t="str">
        <f t="shared" si="83"/>
        <v/>
      </c>
      <c r="T497" t="str">
        <f>IF(C497="","",InventoryTable[[#This Row],[Profit per Unit]]*InventoryTable[[#This Row],[Total Pieces]])</f>
        <v/>
      </c>
      <c r="U497" t="str">
        <f t="shared" si="74"/>
        <v/>
      </c>
      <c r="V497" t="str">
        <f>IF(C497="","",H497-InventoryTable[[#This Row],[Units Sold]])</f>
        <v/>
      </c>
      <c r="W497" t="str">
        <f t="shared" si="75"/>
        <v/>
      </c>
      <c r="X497" t="str">
        <f t="shared" si="76"/>
        <v/>
      </c>
      <c r="Y497" t="str">
        <f>IF(C497="","",IF(InventoryTable[[#This Row],[Stock Balance]]&lt;=0,"Sold Out",IF((InventoryTable[[#This Row],[Stock Balance]]/InventoryTable[[#This Row],[Total Pieces]])&lt;=0.25,"Low on Stocks","Available")))</f>
        <v/>
      </c>
    </row>
    <row r="498" spans="1:25" x14ac:dyDescent="0.3">
      <c r="A498" t="str">
        <f>IF(C498="","",_xlfn.CONCAT(LEFT(InventoryTable[[#This Row],[Category]],1),InventoryTable[[#This Row],[Product Pricing Type]],ROW()))</f>
        <v/>
      </c>
      <c r="H498" t="str">
        <f t="shared" si="77"/>
        <v/>
      </c>
      <c r="K498" t="str">
        <f t="shared" si="78"/>
        <v/>
      </c>
      <c r="N498" t="str">
        <f t="shared" si="79"/>
        <v/>
      </c>
      <c r="P498" t="str">
        <f t="shared" si="80"/>
        <v/>
      </c>
      <c r="Q498" s="4" t="str">
        <f t="shared" si="81"/>
        <v/>
      </c>
      <c r="R498" t="str">
        <f t="shared" si="82"/>
        <v/>
      </c>
      <c r="S498" t="str">
        <f t="shared" si="83"/>
        <v/>
      </c>
      <c r="T498" t="str">
        <f>IF(C498="","",InventoryTable[[#This Row],[Profit per Unit]]*InventoryTable[[#This Row],[Total Pieces]])</f>
        <v/>
      </c>
      <c r="U498" t="str">
        <f t="shared" si="74"/>
        <v/>
      </c>
      <c r="V498" t="str">
        <f>IF(C498="","",H498-InventoryTable[[#This Row],[Units Sold]])</f>
        <v/>
      </c>
      <c r="W498" t="str">
        <f t="shared" si="75"/>
        <v/>
      </c>
      <c r="X498" t="str">
        <f t="shared" si="76"/>
        <v/>
      </c>
      <c r="Y498" t="str">
        <f>IF(C498="","",IF(InventoryTable[[#This Row],[Stock Balance]]&lt;=0,"Sold Out",IF((InventoryTable[[#This Row],[Stock Balance]]/InventoryTable[[#This Row],[Total Pieces]])&lt;=0.25,"Low on Stocks","Available")))</f>
        <v/>
      </c>
    </row>
    <row r="499" spans="1:25" x14ac:dyDescent="0.3">
      <c r="A499" t="str">
        <f>IF(C499="","",_xlfn.CONCAT(LEFT(InventoryTable[[#This Row],[Category]],1),InventoryTable[[#This Row],[Product Pricing Type]],ROW()))</f>
        <v/>
      </c>
      <c r="H499" t="str">
        <f t="shared" si="77"/>
        <v/>
      </c>
      <c r="K499" t="str">
        <f t="shared" si="78"/>
        <v/>
      </c>
      <c r="N499" t="str">
        <f t="shared" si="79"/>
        <v/>
      </c>
      <c r="P499" t="str">
        <f t="shared" si="80"/>
        <v/>
      </c>
      <c r="Q499" s="4" t="str">
        <f t="shared" si="81"/>
        <v/>
      </c>
      <c r="R499" t="str">
        <f t="shared" si="82"/>
        <v/>
      </c>
      <c r="S499" t="str">
        <f t="shared" si="83"/>
        <v/>
      </c>
      <c r="T499" t="str">
        <f>IF(C499="","",InventoryTable[[#This Row],[Profit per Unit]]*InventoryTable[[#This Row],[Total Pieces]])</f>
        <v/>
      </c>
      <c r="U499" t="str">
        <f t="shared" si="74"/>
        <v/>
      </c>
      <c r="V499" t="str">
        <f>IF(C499="","",H499-InventoryTable[[#This Row],[Units Sold]])</f>
        <v/>
      </c>
      <c r="W499" t="str">
        <f t="shared" si="75"/>
        <v/>
      </c>
      <c r="X499" t="str">
        <f t="shared" si="76"/>
        <v/>
      </c>
      <c r="Y499" t="str">
        <f>IF(C499="","",IF(InventoryTable[[#This Row],[Stock Balance]]&lt;=0,"Sold Out",IF((InventoryTable[[#This Row],[Stock Balance]]/InventoryTable[[#This Row],[Total Pieces]])&lt;=0.25,"Low on Stocks","Available")))</f>
        <v/>
      </c>
    </row>
    <row r="500" spans="1:25" x14ac:dyDescent="0.3">
      <c r="A500" t="str">
        <f>IF(C500="","",_xlfn.CONCAT(LEFT(InventoryTable[[#This Row],[Category]],1),InventoryTable[[#This Row],[Product Pricing Type]],ROW()))</f>
        <v/>
      </c>
      <c r="H500" t="str">
        <f t="shared" si="77"/>
        <v/>
      </c>
      <c r="K500" t="str">
        <f t="shared" si="78"/>
        <v/>
      </c>
      <c r="N500" t="str">
        <f t="shared" si="79"/>
        <v/>
      </c>
      <c r="P500" t="str">
        <f t="shared" si="80"/>
        <v/>
      </c>
      <c r="Q500" s="4" t="str">
        <f t="shared" si="81"/>
        <v/>
      </c>
      <c r="R500" t="str">
        <f t="shared" si="82"/>
        <v/>
      </c>
      <c r="S500" t="str">
        <f t="shared" si="83"/>
        <v/>
      </c>
      <c r="T500" t="str">
        <f>IF(C500="","",InventoryTable[[#This Row],[Profit per Unit]]*InventoryTable[[#This Row],[Total Pieces]])</f>
        <v/>
      </c>
      <c r="U500" t="str">
        <f t="shared" si="74"/>
        <v/>
      </c>
      <c r="V500" t="str">
        <f>IF(C500="","",H500-InventoryTable[[#This Row],[Units Sold]])</f>
        <v/>
      </c>
      <c r="W500" t="str">
        <f t="shared" si="75"/>
        <v/>
      </c>
      <c r="X500" t="str">
        <f t="shared" si="76"/>
        <v/>
      </c>
      <c r="Y500" t="str">
        <f>IF(C500="","",IF(InventoryTable[[#This Row],[Stock Balance]]&lt;=0,"Sold Out",IF((InventoryTable[[#This Row],[Stock Balance]]/InventoryTable[[#This Row],[Total Pieces]])&lt;=0.25,"Low on Stocks","Available")))</f>
        <v/>
      </c>
    </row>
    <row r="501" spans="1:25" x14ac:dyDescent="0.3">
      <c r="A501" t="str">
        <f>IF(C501="","",_xlfn.CONCAT(LEFT(InventoryTable[[#This Row],[Category]],1),InventoryTable[[#This Row],[Product Pricing Type]],ROW()))</f>
        <v/>
      </c>
      <c r="H501" t="str">
        <f t="shared" si="77"/>
        <v/>
      </c>
      <c r="K501" t="str">
        <f t="shared" si="78"/>
        <v/>
      </c>
      <c r="N501" t="str">
        <f t="shared" si="79"/>
        <v/>
      </c>
      <c r="P501" t="str">
        <f t="shared" si="80"/>
        <v/>
      </c>
      <c r="Q501" s="4" t="str">
        <f t="shared" si="81"/>
        <v/>
      </c>
      <c r="R501" t="str">
        <f t="shared" si="82"/>
        <v/>
      </c>
      <c r="S501" t="str">
        <f t="shared" si="83"/>
        <v/>
      </c>
      <c r="T501" t="str">
        <f>IF(C501="","",InventoryTable[[#This Row],[Profit per Unit]]*InventoryTable[[#This Row],[Total Pieces]])</f>
        <v/>
      </c>
      <c r="U501" t="str">
        <f t="shared" si="74"/>
        <v/>
      </c>
      <c r="V501" t="str">
        <f>IF(C501="","",H501-InventoryTable[[#This Row],[Units Sold]])</f>
        <v/>
      </c>
      <c r="W501" t="str">
        <f t="shared" si="75"/>
        <v/>
      </c>
      <c r="X501" t="str">
        <f t="shared" si="76"/>
        <v/>
      </c>
      <c r="Y501" t="str">
        <f>IF(C501="","",IF(InventoryTable[[#This Row],[Stock Balance]]&lt;=0,"Sold Out",IF((InventoryTable[[#This Row],[Stock Balance]]/InventoryTable[[#This Row],[Total Pieces]])&lt;=0.25,"Low on Stocks","Available")))</f>
        <v/>
      </c>
    </row>
    <row r="502" spans="1:25" x14ac:dyDescent="0.3">
      <c r="A502" t="str">
        <f>IF(C502="","",_xlfn.CONCAT(LEFT(InventoryTable[[#This Row],[Category]],1),InventoryTable[[#This Row],[Product Pricing Type]],ROW()))</f>
        <v/>
      </c>
      <c r="H502" t="str">
        <f t="shared" si="77"/>
        <v/>
      </c>
      <c r="K502" t="str">
        <f t="shared" si="78"/>
        <v/>
      </c>
      <c r="N502" t="str">
        <f t="shared" si="79"/>
        <v/>
      </c>
      <c r="P502" t="str">
        <f t="shared" si="80"/>
        <v/>
      </c>
      <c r="Q502" s="4" t="str">
        <f t="shared" si="81"/>
        <v/>
      </c>
      <c r="R502" t="str">
        <f t="shared" si="82"/>
        <v/>
      </c>
      <c r="S502" t="str">
        <f t="shared" si="83"/>
        <v/>
      </c>
      <c r="T502" t="str">
        <f>IF(C502="","",InventoryTable[[#This Row],[Profit per Unit]]*InventoryTable[[#This Row],[Total Pieces]])</f>
        <v/>
      </c>
      <c r="U502" t="str">
        <f t="shared" si="74"/>
        <v/>
      </c>
      <c r="V502" t="str">
        <f>IF(C502="","",H502-InventoryTable[[#This Row],[Units Sold]])</f>
        <v/>
      </c>
      <c r="W502" t="str">
        <f t="shared" si="75"/>
        <v/>
      </c>
      <c r="X502" t="str">
        <f t="shared" si="76"/>
        <v/>
      </c>
      <c r="Y502" t="str">
        <f>IF(C502="","",IF(InventoryTable[[#This Row],[Stock Balance]]&lt;=0,"Sold Out",IF((InventoryTable[[#This Row],[Stock Balance]]/InventoryTable[[#This Row],[Total Pieces]])&lt;=0.25,"Low on Stocks","Available")))</f>
        <v/>
      </c>
    </row>
    <row r="503" spans="1:25" x14ac:dyDescent="0.3">
      <c r="A503" t="str">
        <f>IF(C503="","",_xlfn.CONCAT(LEFT(InventoryTable[[#This Row],[Category]],1),InventoryTable[[#This Row],[Product Pricing Type]],ROW()))</f>
        <v/>
      </c>
      <c r="H503" t="str">
        <f t="shared" si="77"/>
        <v/>
      </c>
      <c r="K503" t="str">
        <f t="shared" si="78"/>
        <v/>
      </c>
      <c r="N503" t="str">
        <f t="shared" si="79"/>
        <v/>
      </c>
      <c r="P503" t="str">
        <f t="shared" si="80"/>
        <v/>
      </c>
      <c r="Q503" s="4" t="str">
        <f t="shared" si="81"/>
        <v/>
      </c>
      <c r="R503" t="str">
        <f t="shared" si="82"/>
        <v/>
      </c>
      <c r="S503" t="str">
        <f t="shared" si="83"/>
        <v/>
      </c>
      <c r="T503" t="str">
        <f>IF(C503="","",InventoryTable[[#This Row],[Profit per Unit]]*InventoryTable[[#This Row],[Total Pieces]])</f>
        <v/>
      </c>
      <c r="U503" t="str">
        <f t="shared" si="74"/>
        <v/>
      </c>
      <c r="V503" t="str">
        <f>IF(C503="","",H503-InventoryTable[[#This Row],[Units Sold]])</f>
        <v/>
      </c>
      <c r="W503" t="str">
        <f t="shared" si="75"/>
        <v/>
      </c>
      <c r="X503" t="str">
        <f t="shared" si="76"/>
        <v/>
      </c>
      <c r="Y503" t="str">
        <f>IF(C503="","",IF(InventoryTable[[#This Row],[Stock Balance]]&lt;=0,"Sold Out",IF((InventoryTable[[#This Row],[Stock Balance]]/InventoryTable[[#This Row],[Total Pieces]])&lt;=0.25,"Low on Stocks","Available")))</f>
        <v/>
      </c>
    </row>
    <row r="504" spans="1:25" x14ac:dyDescent="0.3">
      <c r="A504" t="str">
        <f>IF(C504="","",_xlfn.CONCAT(LEFT(InventoryTable[[#This Row],[Category]],1),InventoryTable[[#This Row],[Product Pricing Type]],ROW()))</f>
        <v/>
      </c>
      <c r="H504" t="str">
        <f t="shared" si="77"/>
        <v/>
      </c>
      <c r="K504" t="str">
        <f t="shared" si="78"/>
        <v/>
      </c>
      <c r="N504" t="str">
        <f t="shared" si="79"/>
        <v/>
      </c>
      <c r="P504" t="str">
        <f t="shared" si="80"/>
        <v/>
      </c>
      <c r="Q504" s="4" t="str">
        <f t="shared" si="81"/>
        <v/>
      </c>
      <c r="R504" t="str">
        <f t="shared" si="82"/>
        <v/>
      </c>
      <c r="S504" t="str">
        <f t="shared" si="83"/>
        <v/>
      </c>
      <c r="T504" t="str">
        <f>IF(C504="","",InventoryTable[[#This Row],[Profit per Unit]]*InventoryTable[[#This Row],[Total Pieces]])</f>
        <v/>
      </c>
      <c r="U504" t="str">
        <f t="shared" si="74"/>
        <v/>
      </c>
      <c r="V504" t="str">
        <f>IF(C504="","",H504-InventoryTable[[#This Row],[Units Sold]])</f>
        <v/>
      </c>
      <c r="W504" t="str">
        <f t="shared" si="75"/>
        <v/>
      </c>
      <c r="X504" t="str">
        <f t="shared" si="76"/>
        <v/>
      </c>
      <c r="Y504" t="str">
        <f>IF(C504="","",IF(InventoryTable[[#This Row],[Stock Balance]]&lt;=0,"Sold Out",IF((InventoryTable[[#This Row],[Stock Balance]]/InventoryTable[[#This Row],[Total Pieces]])&lt;=0.25,"Low on Stocks","Available")))</f>
        <v/>
      </c>
    </row>
    <row r="505" spans="1:25" x14ac:dyDescent="0.3">
      <c r="A505" t="str">
        <f>IF(C505="","",_xlfn.CONCAT(LEFT(InventoryTable[[#This Row],[Category]],1),InventoryTable[[#This Row],[Product Pricing Type]],ROW()))</f>
        <v/>
      </c>
      <c r="H505" t="str">
        <f t="shared" si="77"/>
        <v/>
      </c>
      <c r="K505" t="str">
        <f t="shared" si="78"/>
        <v/>
      </c>
      <c r="N505" t="str">
        <f t="shared" si="79"/>
        <v/>
      </c>
      <c r="P505" t="str">
        <f t="shared" si="80"/>
        <v/>
      </c>
      <c r="Q505" s="4" t="str">
        <f t="shared" si="81"/>
        <v/>
      </c>
      <c r="R505" t="str">
        <f t="shared" si="82"/>
        <v/>
      </c>
      <c r="S505" t="str">
        <f t="shared" si="83"/>
        <v/>
      </c>
      <c r="T505" t="str">
        <f>IF(C505="","",InventoryTable[[#This Row],[Profit per Unit]]*InventoryTable[[#This Row],[Total Pieces]])</f>
        <v/>
      </c>
      <c r="U505" t="str">
        <f t="shared" si="74"/>
        <v/>
      </c>
      <c r="V505" t="str">
        <f>IF(C505="","",H505-InventoryTable[[#This Row],[Units Sold]])</f>
        <v/>
      </c>
      <c r="W505" t="str">
        <f t="shared" si="75"/>
        <v/>
      </c>
      <c r="X505" t="str">
        <f t="shared" si="76"/>
        <v/>
      </c>
      <c r="Y505" t="str">
        <f>IF(C505="","",IF(InventoryTable[[#This Row],[Stock Balance]]&lt;=0,"Sold Out",IF((InventoryTable[[#This Row],[Stock Balance]]/InventoryTable[[#This Row],[Total Pieces]])&lt;=0.25,"Low on Stocks","Available")))</f>
        <v/>
      </c>
    </row>
    <row r="506" spans="1:25" x14ac:dyDescent="0.3">
      <c r="A506" t="str">
        <f>IF(C506="","",_xlfn.CONCAT(LEFT(InventoryTable[[#This Row],[Category]],1),InventoryTable[[#This Row],[Product Pricing Type]],ROW()))</f>
        <v/>
      </c>
      <c r="H506" t="str">
        <f t="shared" si="77"/>
        <v/>
      </c>
      <c r="K506" t="str">
        <f t="shared" si="78"/>
        <v/>
      </c>
      <c r="N506" t="str">
        <f t="shared" si="79"/>
        <v/>
      </c>
      <c r="P506" t="str">
        <f t="shared" si="80"/>
        <v/>
      </c>
      <c r="Q506" s="4" t="str">
        <f t="shared" si="81"/>
        <v/>
      </c>
      <c r="R506" t="str">
        <f t="shared" si="82"/>
        <v/>
      </c>
      <c r="S506" t="str">
        <f t="shared" si="83"/>
        <v/>
      </c>
      <c r="T506" t="str">
        <f>IF(C506="","",InventoryTable[[#This Row],[Profit per Unit]]*InventoryTable[[#This Row],[Total Pieces]])</f>
        <v/>
      </c>
      <c r="U506" t="str">
        <f t="shared" si="74"/>
        <v/>
      </c>
      <c r="V506" t="str">
        <f>IF(C506="","",H506-InventoryTable[[#This Row],[Units Sold]])</f>
        <v/>
      </c>
      <c r="W506" t="str">
        <f t="shared" si="75"/>
        <v/>
      </c>
      <c r="X506" t="str">
        <f t="shared" si="76"/>
        <v/>
      </c>
      <c r="Y506" t="str">
        <f>IF(C506="","",IF(InventoryTable[[#This Row],[Stock Balance]]&lt;=0,"Sold Out",IF((InventoryTable[[#This Row],[Stock Balance]]/InventoryTable[[#This Row],[Total Pieces]])&lt;=0.25,"Low on Stocks","Available")))</f>
        <v/>
      </c>
    </row>
    <row r="507" spans="1:25" x14ac:dyDescent="0.3">
      <c r="A507" t="str">
        <f>IF(C507="","",_xlfn.CONCAT(LEFT(InventoryTable[[#This Row],[Category]],1),InventoryTable[[#This Row],[Product Pricing Type]],ROW()))</f>
        <v/>
      </c>
      <c r="H507" t="str">
        <f t="shared" si="77"/>
        <v/>
      </c>
      <c r="K507" t="str">
        <f t="shared" si="78"/>
        <v/>
      </c>
      <c r="N507" t="str">
        <f t="shared" si="79"/>
        <v/>
      </c>
      <c r="P507" t="str">
        <f t="shared" si="80"/>
        <v/>
      </c>
      <c r="Q507" s="4" t="str">
        <f t="shared" si="81"/>
        <v/>
      </c>
      <c r="R507" t="str">
        <f t="shared" si="82"/>
        <v/>
      </c>
      <c r="S507" t="str">
        <f t="shared" si="83"/>
        <v/>
      </c>
      <c r="T507" t="str">
        <f>IF(C507="","",InventoryTable[[#This Row],[Profit per Unit]]*InventoryTable[[#This Row],[Total Pieces]])</f>
        <v/>
      </c>
      <c r="U507" t="str">
        <f t="shared" si="74"/>
        <v/>
      </c>
      <c r="V507" t="str">
        <f>IF(C507="","",H507-InventoryTable[[#This Row],[Units Sold]])</f>
        <v/>
      </c>
      <c r="W507" t="str">
        <f t="shared" si="75"/>
        <v/>
      </c>
      <c r="X507" t="str">
        <f t="shared" si="76"/>
        <v/>
      </c>
      <c r="Y507" t="str">
        <f>IF(C507="","",IF(InventoryTable[[#This Row],[Stock Balance]]&lt;=0,"Sold Out",IF((InventoryTable[[#This Row],[Stock Balance]]/InventoryTable[[#This Row],[Total Pieces]])&lt;=0.25,"Low on Stocks","Available")))</f>
        <v/>
      </c>
    </row>
    <row r="508" spans="1:25" x14ac:dyDescent="0.3">
      <c r="A508" t="str">
        <f>IF(C508="","",_xlfn.CONCAT(LEFT(InventoryTable[[#This Row],[Category]],1),InventoryTable[[#This Row],[Product Pricing Type]],ROW()))</f>
        <v/>
      </c>
      <c r="H508" t="str">
        <f t="shared" si="77"/>
        <v/>
      </c>
      <c r="K508" t="str">
        <f t="shared" si="78"/>
        <v/>
      </c>
      <c r="N508" t="str">
        <f t="shared" si="79"/>
        <v/>
      </c>
      <c r="P508" t="str">
        <f t="shared" si="80"/>
        <v/>
      </c>
      <c r="Q508" s="4" t="str">
        <f t="shared" si="81"/>
        <v/>
      </c>
      <c r="R508" t="str">
        <f t="shared" si="82"/>
        <v/>
      </c>
      <c r="S508" t="str">
        <f t="shared" si="83"/>
        <v/>
      </c>
      <c r="T508" t="str">
        <f>IF(C508="","",InventoryTable[[#This Row],[Profit per Unit]]*InventoryTable[[#This Row],[Total Pieces]])</f>
        <v/>
      </c>
      <c r="U508" t="str">
        <f t="shared" si="74"/>
        <v/>
      </c>
      <c r="V508" t="str">
        <f>IF(C508="","",H508-InventoryTable[[#This Row],[Units Sold]])</f>
        <v/>
      </c>
      <c r="W508" t="str">
        <f t="shared" si="75"/>
        <v/>
      </c>
      <c r="X508" t="str">
        <f t="shared" si="76"/>
        <v/>
      </c>
      <c r="Y508" t="str">
        <f>IF(C508="","",IF(InventoryTable[[#This Row],[Stock Balance]]&lt;=0,"Sold Out",IF((InventoryTable[[#This Row],[Stock Balance]]/InventoryTable[[#This Row],[Total Pieces]])&lt;=0.25,"Low on Stocks","Available")))</f>
        <v/>
      </c>
    </row>
    <row r="509" spans="1:25" x14ac:dyDescent="0.3">
      <c r="A509" t="str">
        <f>IF(C509="","",_xlfn.CONCAT(LEFT(InventoryTable[[#This Row],[Category]],1),InventoryTable[[#This Row],[Product Pricing Type]],ROW()))</f>
        <v/>
      </c>
      <c r="H509" t="str">
        <f t="shared" si="77"/>
        <v/>
      </c>
      <c r="K509" t="str">
        <f t="shared" si="78"/>
        <v/>
      </c>
      <c r="N509" t="str">
        <f t="shared" si="79"/>
        <v/>
      </c>
      <c r="P509" t="str">
        <f t="shared" si="80"/>
        <v/>
      </c>
      <c r="Q509" s="4" t="str">
        <f t="shared" si="81"/>
        <v/>
      </c>
      <c r="R509" t="str">
        <f t="shared" si="82"/>
        <v/>
      </c>
      <c r="S509" t="str">
        <f t="shared" si="83"/>
        <v/>
      </c>
      <c r="T509" t="str">
        <f>IF(C509="","",InventoryTable[[#This Row],[Profit per Unit]]*InventoryTable[[#This Row],[Total Pieces]])</f>
        <v/>
      </c>
      <c r="U509" t="str">
        <f t="shared" ref="U509:U572" si="84">IF(C509="","",0)</f>
        <v/>
      </c>
      <c r="V509" t="str">
        <f>IF(C509="","",H509-InventoryTable[[#This Row],[Units Sold]])</f>
        <v/>
      </c>
      <c r="W509" t="str">
        <f t="shared" ref="W509:W572" si="85">IF(C509="","",Q509*U509)</f>
        <v/>
      </c>
      <c r="X509" t="str">
        <f t="shared" ref="X509:X572" si="86">IF(C509="","",S509*U509)</f>
        <v/>
      </c>
      <c r="Y509" t="str">
        <f>IF(C509="","",IF(InventoryTable[[#This Row],[Stock Balance]]&lt;=0,"Sold Out",IF((InventoryTable[[#This Row],[Stock Balance]]/InventoryTable[[#This Row],[Total Pieces]])&lt;=0.25,"Low on Stocks","Available")))</f>
        <v/>
      </c>
    </row>
    <row r="510" spans="1:25" x14ac:dyDescent="0.3">
      <c r="A510" t="str">
        <f>IF(C510="","",_xlfn.CONCAT(LEFT(InventoryTable[[#This Row],[Category]],1),InventoryTable[[#This Row],[Product Pricing Type]],ROW()))</f>
        <v/>
      </c>
      <c r="H510" t="str">
        <f t="shared" si="77"/>
        <v/>
      </c>
      <c r="K510" t="str">
        <f t="shared" si="78"/>
        <v/>
      </c>
      <c r="N510" t="str">
        <f t="shared" si="79"/>
        <v/>
      </c>
      <c r="P510" t="str">
        <f t="shared" si="80"/>
        <v/>
      </c>
      <c r="Q510" s="4" t="str">
        <f t="shared" si="81"/>
        <v/>
      </c>
      <c r="R510" t="str">
        <f t="shared" si="82"/>
        <v/>
      </c>
      <c r="S510" t="str">
        <f t="shared" si="83"/>
        <v/>
      </c>
      <c r="T510" t="str">
        <f>IF(C510="","",InventoryTable[[#This Row],[Profit per Unit]]*InventoryTable[[#This Row],[Total Pieces]])</f>
        <v/>
      </c>
      <c r="U510" t="str">
        <f t="shared" si="84"/>
        <v/>
      </c>
      <c r="V510" t="str">
        <f>IF(C510="","",H510-InventoryTable[[#This Row],[Units Sold]])</f>
        <v/>
      </c>
      <c r="W510" t="str">
        <f t="shared" si="85"/>
        <v/>
      </c>
      <c r="X510" t="str">
        <f t="shared" si="86"/>
        <v/>
      </c>
      <c r="Y510" t="str">
        <f>IF(C510="","",IF(InventoryTable[[#This Row],[Stock Balance]]&lt;=0,"Sold Out",IF((InventoryTable[[#This Row],[Stock Balance]]/InventoryTable[[#This Row],[Total Pieces]])&lt;=0.25,"Low on Stocks","Available")))</f>
        <v/>
      </c>
    </row>
    <row r="511" spans="1:25" x14ac:dyDescent="0.3">
      <c r="A511" t="str">
        <f>IF(C511="","",_xlfn.CONCAT(LEFT(InventoryTable[[#This Row],[Category]],1),InventoryTable[[#This Row],[Product Pricing Type]],ROW()))</f>
        <v/>
      </c>
      <c r="H511" t="str">
        <f t="shared" si="77"/>
        <v/>
      </c>
      <c r="K511" t="str">
        <f t="shared" si="78"/>
        <v/>
      </c>
      <c r="N511" t="str">
        <f t="shared" si="79"/>
        <v/>
      </c>
      <c r="P511" t="str">
        <f t="shared" si="80"/>
        <v/>
      </c>
      <c r="Q511" s="4" t="str">
        <f t="shared" si="81"/>
        <v/>
      </c>
      <c r="R511" t="str">
        <f t="shared" si="82"/>
        <v/>
      </c>
      <c r="S511" t="str">
        <f t="shared" si="83"/>
        <v/>
      </c>
      <c r="T511" t="str">
        <f>IF(C511="","",InventoryTable[[#This Row],[Profit per Unit]]*InventoryTable[[#This Row],[Total Pieces]])</f>
        <v/>
      </c>
      <c r="U511" t="str">
        <f t="shared" si="84"/>
        <v/>
      </c>
      <c r="V511" t="str">
        <f>IF(C511="","",H511-InventoryTable[[#This Row],[Units Sold]])</f>
        <v/>
      </c>
      <c r="W511" t="str">
        <f t="shared" si="85"/>
        <v/>
      </c>
      <c r="X511" t="str">
        <f t="shared" si="86"/>
        <v/>
      </c>
      <c r="Y511" t="str">
        <f>IF(C511="","",IF(InventoryTable[[#This Row],[Stock Balance]]&lt;=0,"Sold Out",IF((InventoryTable[[#This Row],[Stock Balance]]/InventoryTable[[#This Row],[Total Pieces]])&lt;=0.25,"Low on Stocks","Available")))</f>
        <v/>
      </c>
    </row>
    <row r="512" spans="1:25" x14ac:dyDescent="0.3">
      <c r="A512" t="str">
        <f>IF(C512="","",_xlfn.CONCAT(LEFT(InventoryTable[[#This Row],[Category]],1),InventoryTable[[#This Row],[Product Pricing Type]],ROW()))</f>
        <v/>
      </c>
      <c r="H512" t="str">
        <f t="shared" si="77"/>
        <v/>
      </c>
      <c r="K512" t="str">
        <f t="shared" si="78"/>
        <v/>
      </c>
      <c r="N512" t="str">
        <f t="shared" si="79"/>
        <v/>
      </c>
      <c r="P512" t="str">
        <f t="shared" si="80"/>
        <v/>
      </c>
      <c r="Q512" s="4" t="str">
        <f t="shared" si="81"/>
        <v/>
      </c>
      <c r="R512" t="str">
        <f t="shared" si="82"/>
        <v/>
      </c>
      <c r="S512" t="str">
        <f t="shared" si="83"/>
        <v/>
      </c>
      <c r="T512" t="str">
        <f>IF(C512="","",InventoryTable[[#This Row],[Profit per Unit]]*InventoryTable[[#This Row],[Total Pieces]])</f>
        <v/>
      </c>
      <c r="U512" t="str">
        <f t="shared" si="84"/>
        <v/>
      </c>
      <c r="V512" t="str">
        <f>IF(C512="","",H512-InventoryTable[[#This Row],[Units Sold]])</f>
        <v/>
      </c>
      <c r="W512" t="str">
        <f t="shared" si="85"/>
        <v/>
      </c>
      <c r="X512" t="str">
        <f t="shared" si="86"/>
        <v/>
      </c>
      <c r="Y512" t="str">
        <f>IF(C512="","",IF(InventoryTable[[#This Row],[Stock Balance]]&lt;=0,"Sold Out",IF((InventoryTable[[#This Row],[Stock Balance]]/InventoryTable[[#This Row],[Total Pieces]])&lt;=0.25,"Low on Stocks","Available")))</f>
        <v/>
      </c>
    </row>
    <row r="513" spans="1:25" x14ac:dyDescent="0.3">
      <c r="A513" t="str">
        <f>IF(C513="","",_xlfn.CONCAT(LEFT(InventoryTable[[#This Row],[Category]],1),InventoryTable[[#This Row],[Product Pricing Type]],ROW()))</f>
        <v/>
      </c>
      <c r="H513" t="str">
        <f t="shared" si="77"/>
        <v/>
      </c>
      <c r="K513" t="str">
        <f t="shared" si="78"/>
        <v/>
      </c>
      <c r="N513" t="str">
        <f t="shared" si="79"/>
        <v/>
      </c>
      <c r="P513" t="str">
        <f t="shared" si="80"/>
        <v/>
      </c>
      <c r="Q513" s="4" t="str">
        <f t="shared" si="81"/>
        <v/>
      </c>
      <c r="R513" t="str">
        <f t="shared" si="82"/>
        <v/>
      </c>
      <c r="S513" t="str">
        <f t="shared" si="83"/>
        <v/>
      </c>
      <c r="T513" t="str">
        <f>IF(C513="","",InventoryTable[[#This Row],[Profit per Unit]]*InventoryTable[[#This Row],[Total Pieces]])</f>
        <v/>
      </c>
      <c r="U513" t="str">
        <f t="shared" si="84"/>
        <v/>
      </c>
      <c r="V513" t="str">
        <f>IF(C513="","",H513-InventoryTable[[#This Row],[Units Sold]])</f>
        <v/>
      </c>
      <c r="W513" t="str">
        <f t="shared" si="85"/>
        <v/>
      </c>
      <c r="X513" t="str">
        <f t="shared" si="86"/>
        <v/>
      </c>
      <c r="Y513" t="str">
        <f>IF(C513="","",IF(InventoryTable[[#This Row],[Stock Balance]]&lt;=0,"Sold Out",IF((InventoryTable[[#This Row],[Stock Balance]]/InventoryTable[[#This Row],[Total Pieces]])&lt;=0.25,"Low on Stocks","Available")))</f>
        <v/>
      </c>
    </row>
    <row r="514" spans="1:25" x14ac:dyDescent="0.3">
      <c r="A514" t="str">
        <f>IF(C514="","",_xlfn.CONCAT(LEFT(InventoryTable[[#This Row],[Category]],1),InventoryTable[[#This Row],[Product Pricing Type]],ROW()))</f>
        <v/>
      </c>
      <c r="H514" t="str">
        <f t="shared" si="77"/>
        <v/>
      </c>
      <c r="K514" t="str">
        <f t="shared" si="78"/>
        <v/>
      </c>
      <c r="N514" t="str">
        <f t="shared" si="79"/>
        <v/>
      </c>
      <c r="P514" t="str">
        <f t="shared" si="80"/>
        <v/>
      </c>
      <c r="Q514" s="4" t="str">
        <f t="shared" si="81"/>
        <v/>
      </c>
      <c r="R514" t="str">
        <f t="shared" si="82"/>
        <v/>
      </c>
      <c r="S514" t="str">
        <f t="shared" si="83"/>
        <v/>
      </c>
      <c r="T514" t="str">
        <f>IF(C514="","",InventoryTable[[#This Row],[Profit per Unit]]*InventoryTable[[#This Row],[Total Pieces]])</f>
        <v/>
      </c>
      <c r="U514" t="str">
        <f t="shared" si="84"/>
        <v/>
      </c>
      <c r="V514" t="str">
        <f>IF(C514="","",H514-InventoryTable[[#This Row],[Units Sold]])</f>
        <v/>
      </c>
      <c r="W514" t="str">
        <f t="shared" si="85"/>
        <v/>
      </c>
      <c r="X514" t="str">
        <f t="shared" si="86"/>
        <v/>
      </c>
      <c r="Y514" t="str">
        <f>IF(C514="","",IF(InventoryTable[[#This Row],[Stock Balance]]&lt;=0,"Sold Out",IF((InventoryTable[[#This Row],[Stock Balance]]/InventoryTable[[#This Row],[Total Pieces]])&lt;=0.25,"Low on Stocks","Available")))</f>
        <v/>
      </c>
    </row>
    <row r="515" spans="1:25" x14ac:dyDescent="0.3">
      <c r="A515" t="str">
        <f>IF(C515="","",_xlfn.CONCAT(LEFT(InventoryTable[[#This Row],[Category]],1),InventoryTable[[#This Row],[Product Pricing Type]],ROW()))</f>
        <v/>
      </c>
      <c r="H515" t="str">
        <f t="shared" si="77"/>
        <v/>
      </c>
      <c r="K515" t="str">
        <f t="shared" si="78"/>
        <v/>
      </c>
      <c r="N515" t="str">
        <f t="shared" si="79"/>
        <v/>
      </c>
      <c r="P515" t="str">
        <f t="shared" si="80"/>
        <v/>
      </c>
      <c r="Q515" s="4" t="str">
        <f t="shared" si="81"/>
        <v/>
      </c>
      <c r="R515" t="str">
        <f t="shared" si="82"/>
        <v/>
      </c>
      <c r="S515" t="str">
        <f t="shared" si="83"/>
        <v/>
      </c>
      <c r="T515" t="str">
        <f>IF(C515="","",InventoryTable[[#This Row],[Profit per Unit]]*InventoryTable[[#This Row],[Total Pieces]])</f>
        <v/>
      </c>
      <c r="U515" t="str">
        <f t="shared" si="84"/>
        <v/>
      </c>
      <c r="V515" t="str">
        <f>IF(C515="","",H515-InventoryTable[[#This Row],[Units Sold]])</f>
        <v/>
      </c>
      <c r="W515" t="str">
        <f t="shared" si="85"/>
        <v/>
      </c>
      <c r="X515" t="str">
        <f t="shared" si="86"/>
        <v/>
      </c>
      <c r="Y515" t="str">
        <f>IF(C515="","",IF(InventoryTable[[#This Row],[Stock Balance]]&lt;=0,"Sold Out",IF((InventoryTable[[#This Row],[Stock Balance]]/InventoryTable[[#This Row],[Total Pieces]])&lt;=0.25,"Low on Stocks","Available")))</f>
        <v/>
      </c>
    </row>
    <row r="516" spans="1:25" x14ac:dyDescent="0.3">
      <c r="A516" t="str">
        <f>IF(C516="","",_xlfn.CONCAT(LEFT(InventoryTable[[#This Row],[Category]],1),InventoryTable[[#This Row],[Product Pricing Type]],ROW()))</f>
        <v/>
      </c>
      <c r="H516" t="str">
        <f t="shared" si="77"/>
        <v/>
      </c>
      <c r="K516" t="str">
        <f t="shared" si="78"/>
        <v/>
      </c>
      <c r="N516" t="str">
        <f t="shared" si="79"/>
        <v/>
      </c>
      <c r="P516" t="str">
        <f t="shared" si="80"/>
        <v/>
      </c>
      <c r="Q516" s="4" t="str">
        <f t="shared" si="81"/>
        <v/>
      </c>
      <c r="R516" t="str">
        <f t="shared" si="82"/>
        <v/>
      </c>
      <c r="S516" t="str">
        <f t="shared" si="83"/>
        <v/>
      </c>
      <c r="T516" t="str">
        <f>IF(C516="","",InventoryTable[[#This Row],[Profit per Unit]]*InventoryTable[[#This Row],[Total Pieces]])</f>
        <v/>
      </c>
      <c r="U516" t="str">
        <f t="shared" si="84"/>
        <v/>
      </c>
      <c r="V516" t="str">
        <f>IF(C516="","",H516-InventoryTable[[#This Row],[Units Sold]])</f>
        <v/>
      </c>
      <c r="W516" t="str">
        <f t="shared" si="85"/>
        <v/>
      </c>
      <c r="X516" t="str">
        <f t="shared" si="86"/>
        <v/>
      </c>
      <c r="Y516" t="str">
        <f>IF(C516="","",IF(InventoryTable[[#This Row],[Stock Balance]]&lt;=0,"Sold Out",IF((InventoryTable[[#This Row],[Stock Balance]]/InventoryTable[[#This Row],[Total Pieces]])&lt;=0.25,"Low on Stocks","Available")))</f>
        <v/>
      </c>
    </row>
    <row r="517" spans="1:25" x14ac:dyDescent="0.3">
      <c r="A517" t="str">
        <f>IF(C517="","",_xlfn.CONCAT(LEFT(InventoryTable[[#This Row],[Category]],1),InventoryTable[[#This Row],[Product Pricing Type]],ROW()))</f>
        <v/>
      </c>
      <c r="H517" t="str">
        <f t="shared" si="77"/>
        <v/>
      </c>
      <c r="K517" t="str">
        <f t="shared" si="78"/>
        <v/>
      </c>
      <c r="N517" t="str">
        <f t="shared" si="79"/>
        <v/>
      </c>
      <c r="P517" t="str">
        <f t="shared" si="80"/>
        <v/>
      </c>
      <c r="Q517" s="4" t="str">
        <f t="shared" si="81"/>
        <v/>
      </c>
      <c r="R517" t="str">
        <f t="shared" si="82"/>
        <v/>
      </c>
      <c r="S517" t="str">
        <f t="shared" si="83"/>
        <v/>
      </c>
      <c r="T517" t="str">
        <f>IF(C517="","",InventoryTable[[#This Row],[Profit per Unit]]*InventoryTable[[#This Row],[Total Pieces]])</f>
        <v/>
      </c>
      <c r="U517" t="str">
        <f t="shared" si="84"/>
        <v/>
      </c>
      <c r="V517" t="str">
        <f>IF(C517="","",H517-InventoryTable[[#This Row],[Units Sold]])</f>
        <v/>
      </c>
      <c r="W517" t="str">
        <f t="shared" si="85"/>
        <v/>
      </c>
      <c r="X517" t="str">
        <f t="shared" si="86"/>
        <v/>
      </c>
      <c r="Y517" t="str">
        <f>IF(C517="","",IF(InventoryTable[[#This Row],[Stock Balance]]&lt;=0,"Sold Out",IF((InventoryTable[[#This Row],[Stock Balance]]/InventoryTable[[#This Row],[Total Pieces]])&lt;=0.25,"Low on Stocks","Available")))</f>
        <v/>
      </c>
    </row>
    <row r="518" spans="1:25" x14ac:dyDescent="0.3">
      <c r="A518" t="str">
        <f>IF(C518="","",_xlfn.CONCAT(LEFT(InventoryTable[[#This Row],[Category]],1),InventoryTable[[#This Row],[Product Pricing Type]],ROW()))</f>
        <v/>
      </c>
      <c r="H518" t="str">
        <f t="shared" si="77"/>
        <v/>
      </c>
      <c r="K518" t="str">
        <f t="shared" si="78"/>
        <v/>
      </c>
      <c r="N518" t="str">
        <f t="shared" si="79"/>
        <v/>
      </c>
      <c r="P518" t="str">
        <f t="shared" si="80"/>
        <v/>
      </c>
      <c r="Q518" s="4" t="str">
        <f t="shared" si="81"/>
        <v/>
      </c>
      <c r="R518" t="str">
        <f t="shared" si="82"/>
        <v/>
      </c>
      <c r="S518" t="str">
        <f t="shared" si="83"/>
        <v/>
      </c>
      <c r="T518" t="str">
        <f>IF(C518="","",InventoryTable[[#This Row],[Profit per Unit]]*InventoryTable[[#This Row],[Total Pieces]])</f>
        <v/>
      </c>
      <c r="U518" t="str">
        <f t="shared" si="84"/>
        <v/>
      </c>
      <c r="V518" t="str">
        <f>IF(C518="","",H518-InventoryTable[[#This Row],[Units Sold]])</f>
        <v/>
      </c>
      <c r="W518" t="str">
        <f t="shared" si="85"/>
        <v/>
      </c>
      <c r="X518" t="str">
        <f t="shared" si="86"/>
        <v/>
      </c>
      <c r="Y518" t="str">
        <f>IF(C518="","",IF(InventoryTable[[#This Row],[Stock Balance]]&lt;=0,"Sold Out",IF((InventoryTable[[#This Row],[Stock Balance]]/InventoryTable[[#This Row],[Total Pieces]])&lt;=0.25,"Low on Stocks","Available")))</f>
        <v/>
      </c>
    </row>
    <row r="519" spans="1:25" x14ac:dyDescent="0.3">
      <c r="A519" t="str">
        <f>IF(C519="","",_xlfn.CONCAT(LEFT(InventoryTable[[#This Row],[Category]],1),InventoryTable[[#This Row],[Product Pricing Type]],ROW()))</f>
        <v/>
      </c>
      <c r="H519" t="str">
        <f t="shared" si="77"/>
        <v/>
      </c>
      <c r="K519" t="str">
        <f t="shared" si="78"/>
        <v/>
      </c>
      <c r="N519" t="str">
        <f t="shared" si="79"/>
        <v/>
      </c>
      <c r="P519" t="str">
        <f t="shared" si="80"/>
        <v/>
      </c>
      <c r="Q519" s="4" t="str">
        <f t="shared" si="81"/>
        <v/>
      </c>
      <c r="R519" t="str">
        <f t="shared" si="82"/>
        <v/>
      </c>
      <c r="S519" t="str">
        <f t="shared" si="83"/>
        <v/>
      </c>
      <c r="T519" t="str">
        <f>IF(C519="","",InventoryTable[[#This Row],[Profit per Unit]]*InventoryTable[[#This Row],[Total Pieces]])</f>
        <v/>
      </c>
      <c r="U519" t="str">
        <f t="shared" si="84"/>
        <v/>
      </c>
      <c r="V519" t="str">
        <f>IF(C519="","",H519-InventoryTable[[#This Row],[Units Sold]])</f>
        <v/>
      </c>
      <c r="W519" t="str">
        <f t="shared" si="85"/>
        <v/>
      </c>
      <c r="X519" t="str">
        <f t="shared" si="86"/>
        <v/>
      </c>
      <c r="Y519" t="str">
        <f>IF(C519="","",IF(InventoryTable[[#This Row],[Stock Balance]]&lt;=0,"Sold Out",IF((InventoryTable[[#This Row],[Stock Balance]]/InventoryTable[[#This Row],[Total Pieces]])&lt;=0.25,"Low on Stocks","Available")))</f>
        <v/>
      </c>
    </row>
    <row r="520" spans="1:25" x14ac:dyDescent="0.3">
      <c r="A520" t="str">
        <f>IF(C520="","",_xlfn.CONCAT(LEFT(InventoryTable[[#This Row],[Category]],1),InventoryTable[[#This Row],[Product Pricing Type]],ROW()))</f>
        <v/>
      </c>
      <c r="H520" t="str">
        <f t="shared" si="77"/>
        <v/>
      </c>
      <c r="K520" t="str">
        <f t="shared" si="78"/>
        <v/>
      </c>
      <c r="N520" t="str">
        <f t="shared" si="79"/>
        <v/>
      </c>
      <c r="P520" t="str">
        <f t="shared" si="80"/>
        <v/>
      </c>
      <c r="Q520" s="4" t="str">
        <f t="shared" si="81"/>
        <v/>
      </c>
      <c r="R520" t="str">
        <f t="shared" si="82"/>
        <v/>
      </c>
      <c r="S520" t="str">
        <f t="shared" si="83"/>
        <v/>
      </c>
      <c r="T520" t="str">
        <f>IF(C520="","",InventoryTable[[#This Row],[Profit per Unit]]*InventoryTable[[#This Row],[Total Pieces]])</f>
        <v/>
      </c>
      <c r="U520" t="str">
        <f t="shared" si="84"/>
        <v/>
      </c>
      <c r="V520" t="str">
        <f>IF(C520="","",H520-InventoryTable[[#This Row],[Units Sold]])</f>
        <v/>
      </c>
      <c r="W520" t="str">
        <f t="shared" si="85"/>
        <v/>
      </c>
      <c r="X520" t="str">
        <f t="shared" si="86"/>
        <v/>
      </c>
      <c r="Y520" t="str">
        <f>IF(C520="","",IF(InventoryTable[[#This Row],[Stock Balance]]&lt;=0,"Sold Out",IF((InventoryTable[[#This Row],[Stock Balance]]/InventoryTable[[#This Row],[Total Pieces]])&lt;=0.25,"Low on Stocks","Available")))</f>
        <v/>
      </c>
    </row>
    <row r="521" spans="1:25" x14ac:dyDescent="0.3">
      <c r="A521" t="str">
        <f>IF(C521="","",_xlfn.CONCAT(LEFT(InventoryTable[[#This Row],[Category]],1),InventoryTable[[#This Row],[Product Pricing Type]],ROW()))</f>
        <v/>
      </c>
      <c r="H521" t="str">
        <f t="shared" si="77"/>
        <v/>
      </c>
      <c r="K521" t="str">
        <f t="shared" si="78"/>
        <v/>
      </c>
      <c r="N521" t="str">
        <f t="shared" si="79"/>
        <v/>
      </c>
      <c r="P521" t="str">
        <f t="shared" si="80"/>
        <v/>
      </c>
      <c r="Q521" s="4" t="str">
        <f t="shared" si="81"/>
        <v/>
      </c>
      <c r="R521" t="str">
        <f t="shared" si="82"/>
        <v/>
      </c>
      <c r="S521" t="str">
        <f t="shared" si="83"/>
        <v/>
      </c>
      <c r="T521" t="str">
        <f>IF(C521="","",InventoryTable[[#This Row],[Profit per Unit]]*InventoryTable[[#This Row],[Total Pieces]])</f>
        <v/>
      </c>
      <c r="U521" t="str">
        <f t="shared" si="84"/>
        <v/>
      </c>
      <c r="V521" t="str">
        <f>IF(C521="","",H521-InventoryTable[[#This Row],[Units Sold]])</f>
        <v/>
      </c>
      <c r="W521" t="str">
        <f t="shared" si="85"/>
        <v/>
      </c>
      <c r="X521" t="str">
        <f t="shared" si="86"/>
        <v/>
      </c>
      <c r="Y521" t="str">
        <f>IF(C521="","",IF(InventoryTable[[#This Row],[Stock Balance]]&lt;=0,"Sold Out",IF((InventoryTable[[#This Row],[Stock Balance]]/InventoryTable[[#This Row],[Total Pieces]])&lt;=0.25,"Low on Stocks","Available")))</f>
        <v/>
      </c>
    </row>
    <row r="522" spans="1:25" x14ac:dyDescent="0.3">
      <c r="A522" t="str">
        <f>IF(C522="","",_xlfn.CONCAT(LEFT(InventoryTable[[#This Row],[Category]],1),InventoryTable[[#This Row],[Product Pricing Type]],ROW()))</f>
        <v/>
      </c>
      <c r="H522" t="str">
        <f t="shared" si="77"/>
        <v/>
      </c>
      <c r="K522" t="str">
        <f t="shared" si="78"/>
        <v/>
      </c>
      <c r="N522" t="str">
        <f t="shared" si="79"/>
        <v/>
      </c>
      <c r="P522" t="str">
        <f t="shared" si="80"/>
        <v/>
      </c>
      <c r="Q522" s="4" t="str">
        <f t="shared" si="81"/>
        <v/>
      </c>
      <c r="R522" t="str">
        <f t="shared" si="82"/>
        <v/>
      </c>
      <c r="S522" t="str">
        <f t="shared" si="83"/>
        <v/>
      </c>
      <c r="T522" t="str">
        <f>IF(C522="","",InventoryTable[[#This Row],[Profit per Unit]]*InventoryTable[[#This Row],[Total Pieces]])</f>
        <v/>
      </c>
      <c r="U522" t="str">
        <f t="shared" si="84"/>
        <v/>
      </c>
      <c r="V522" t="str">
        <f>IF(C522="","",H522-InventoryTable[[#This Row],[Units Sold]])</f>
        <v/>
      </c>
      <c r="W522" t="str">
        <f t="shared" si="85"/>
        <v/>
      </c>
      <c r="X522" t="str">
        <f t="shared" si="86"/>
        <v/>
      </c>
      <c r="Y522" t="str">
        <f>IF(C522="","",IF(InventoryTable[[#This Row],[Stock Balance]]&lt;=0,"Sold Out",IF((InventoryTable[[#This Row],[Stock Balance]]/InventoryTable[[#This Row],[Total Pieces]])&lt;=0.25,"Low on Stocks","Available")))</f>
        <v/>
      </c>
    </row>
    <row r="523" spans="1:25" x14ac:dyDescent="0.3">
      <c r="A523" t="str">
        <f>IF(C523="","",_xlfn.CONCAT(LEFT(InventoryTable[[#This Row],[Category]],1),InventoryTable[[#This Row],[Product Pricing Type]],ROW()))</f>
        <v/>
      </c>
      <c r="H523" t="str">
        <f t="shared" si="77"/>
        <v/>
      </c>
      <c r="K523" t="str">
        <f t="shared" si="78"/>
        <v/>
      </c>
      <c r="N523" t="str">
        <f t="shared" si="79"/>
        <v/>
      </c>
      <c r="P523" t="str">
        <f t="shared" si="80"/>
        <v/>
      </c>
      <c r="Q523" s="4" t="str">
        <f t="shared" si="81"/>
        <v/>
      </c>
      <c r="R523" t="str">
        <f t="shared" si="82"/>
        <v/>
      </c>
      <c r="S523" t="str">
        <f t="shared" si="83"/>
        <v/>
      </c>
      <c r="T523" t="str">
        <f>IF(C523="","",InventoryTable[[#This Row],[Profit per Unit]]*InventoryTable[[#This Row],[Total Pieces]])</f>
        <v/>
      </c>
      <c r="U523" t="str">
        <f t="shared" si="84"/>
        <v/>
      </c>
      <c r="V523" t="str">
        <f>IF(C523="","",H523-InventoryTable[[#This Row],[Units Sold]])</f>
        <v/>
      </c>
      <c r="W523" t="str">
        <f t="shared" si="85"/>
        <v/>
      </c>
      <c r="X523" t="str">
        <f t="shared" si="86"/>
        <v/>
      </c>
      <c r="Y523" t="str">
        <f>IF(C523="","",IF(InventoryTable[[#This Row],[Stock Balance]]&lt;=0,"Sold Out",IF((InventoryTable[[#This Row],[Stock Balance]]/InventoryTable[[#This Row],[Total Pieces]])&lt;=0.25,"Low on Stocks","Available")))</f>
        <v/>
      </c>
    </row>
    <row r="524" spans="1:25" x14ac:dyDescent="0.3">
      <c r="A524" t="str">
        <f>IF(C524="","",_xlfn.CONCAT(LEFT(InventoryTable[[#This Row],[Category]],1),InventoryTable[[#This Row],[Product Pricing Type]],ROW()))</f>
        <v/>
      </c>
      <c r="H524" t="str">
        <f t="shared" si="77"/>
        <v/>
      </c>
      <c r="K524" t="str">
        <f t="shared" si="78"/>
        <v/>
      </c>
      <c r="N524" t="str">
        <f t="shared" si="79"/>
        <v/>
      </c>
      <c r="P524" t="str">
        <f t="shared" si="80"/>
        <v/>
      </c>
      <c r="Q524" s="4" t="str">
        <f t="shared" si="81"/>
        <v/>
      </c>
      <c r="R524" t="str">
        <f t="shared" si="82"/>
        <v/>
      </c>
      <c r="S524" t="str">
        <f t="shared" si="83"/>
        <v/>
      </c>
      <c r="T524" t="str">
        <f>IF(C524="","",InventoryTable[[#This Row],[Profit per Unit]]*InventoryTable[[#This Row],[Total Pieces]])</f>
        <v/>
      </c>
      <c r="U524" t="str">
        <f t="shared" si="84"/>
        <v/>
      </c>
      <c r="V524" t="str">
        <f>IF(C524="","",H524-InventoryTable[[#This Row],[Units Sold]])</f>
        <v/>
      </c>
      <c r="W524" t="str">
        <f t="shared" si="85"/>
        <v/>
      </c>
      <c r="X524" t="str">
        <f t="shared" si="86"/>
        <v/>
      </c>
      <c r="Y524" t="str">
        <f>IF(C524="","",IF(InventoryTable[[#This Row],[Stock Balance]]&lt;=0,"Sold Out",IF((InventoryTable[[#This Row],[Stock Balance]]/InventoryTable[[#This Row],[Total Pieces]])&lt;=0.25,"Low on Stocks","Available")))</f>
        <v/>
      </c>
    </row>
    <row r="525" spans="1:25" x14ac:dyDescent="0.3">
      <c r="A525" t="str">
        <f>IF(C525="","",_xlfn.CONCAT(LEFT(InventoryTable[[#This Row],[Category]],1),InventoryTable[[#This Row],[Product Pricing Type]],ROW()))</f>
        <v/>
      </c>
      <c r="H525" t="str">
        <f t="shared" si="77"/>
        <v/>
      </c>
      <c r="K525" t="str">
        <f t="shared" si="78"/>
        <v/>
      </c>
      <c r="N525" t="str">
        <f t="shared" si="79"/>
        <v/>
      </c>
      <c r="P525" t="str">
        <f t="shared" si="80"/>
        <v/>
      </c>
      <c r="Q525" s="4" t="str">
        <f t="shared" si="81"/>
        <v/>
      </c>
      <c r="R525" t="str">
        <f t="shared" si="82"/>
        <v/>
      </c>
      <c r="S525" t="str">
        <f t="shared" si="83"/>
        <v/>
      </c>
      <c r="T525" t="str">
        <f>IF(C525="","",InventoryTable[[#This Row],[Profit per Unit]]*InventoryTable[[#This Row],[Total Pieces]])</f>
        <v/>
      </c>
      <c r="U525" t="str">
        <f t="shared" si="84"/>
        <v/>
      </c>
      <c r="V525" t="str">
        <f>IF(C525="","",H525-InventoryTable[[#This Row],[Units Sold]])</f>
        <v/>
      </c>
      <c r="W525" t="str">
        <f t="shared" si="85"/>
        <v/>
      </c>
      <c r="X525" t="str">
        <f t="shared" si="86"/>
        <v/>
      </c>
      <c r="Y525" t="str">
        <f>IF(C525="","",IF(InventoryTable[[#This Row],[Stock Balance]]&lt;=0,"Sold Out",IF((InventoryTable[[#This Row],[Stock Balance]]/InventoryTable[[#This Row],[Total Pieces]])&lt;=0.25,"Low on Stocks","Available")))</f>
        <v/>
      </c>
    </row>
    <row r="526" spans="1:25" x14ac:dyDescent="0.3">
      <c r="A526" t="str">
        <f>IF(C526="","",_xlfn.CONCAT(LEFT(InventoryTable[[#This Row],[Category]],1),InventoryTable[[#This Row],[Product Pricing Type]],ROW()))</f>
        <v/>
      </c>
      <c r="H526" t="str">
        <f t="shared" si="77"/>
        <v/>
      </c>
      <c r="K526" t="str">
        <f t="shared" si="78"/>
        <v/>
      </c>
      <c r="N526" t="str">
        <f t="shared" si="79"/>
        <v/>
      </c>
      <c r="P526" t="str">
        <f t="shared" si="80"/>
        <v/>
      </c>
      <c r="Q526" s="4" t="str">
        <f t="shared" si="81"/>
        <v/>
      </c>
      <c r="R526" t="str">
        <f t="shared" si="82"/>
        <v/>
      </c>
      <c r="S526" t="str">
        <f t="shared" si="83"/>
        <v/>
      </c>
      <c r="T526" t="str">
        <f>IF(C526="","",InventoryTable[[#This Row],[Profit per Unit]]*InventoryTable[[#This Row],[Total Pieces]])</f>
        <v/>
      </c>
      <c r="U526" t="str">
        <f t="shared" si="84"/>
        <v/>
      </c>
      <c r="V526" t="str">
        <f>IF(C526="","",H526-InventoryTable[[#This Row],[Units Sold]])</f>
        <v/>
      </c>
      <c r="W526" t="str">
        <f t="shared" si="85"/>
        <v/>
      </c>
      <c r="X526" t="str">
        <f t="shared" si="86"/>
        <v/>
      </c>
      <c r="Y526" t="str">
        <f>IF(C526="","",IF(InventoryTable[[#This Row],[Stock Balance]]&lt;=0,"Sold Out",IF((InventoryTable[[#This Row],[Stock Balance]]/InventoryTable[[#This Row],[Total Pieces]])&lt;=0.25,"Low on Stocks","Available")))</f>
        <v/>
      </c>
    </row>
    <row r="527" spans="1:25" x14ac:dyDescent="0.3">
      <c r="A527" t="str">
        <f>IF(C527="","",_xlfn.CONCAT(LEFT(InventoryTable[[#This Row],[Category]],1),InventoryTable[[#This Row],[Product Pricing Type]],ROW()))</f>
        <v/>
      </c>
      <c r="H527" t="str">
        <f t="shared" si="77"/>
        <v/>
      </c>
      <c r="K527" t="str">
        <f t="shared" si="78"/>
        <v/>
      </c>
      <c r="N527" t="str">
        <f t="shared" si="79"/>
        <v/>
      </c>
      <c r="P527" t="str">
        <f t="shared" si="80"/>
        <v/>
      </c>
      <c r="Q527" s="4" t="str">
        <f t="shared" si="81"/>
        <v/>
      </c>
      <c r="R527" t="str">
        <f t="shared" si="82"/>
        <v/>
      </c>
      <c r="S527" t="str">
        <f t="shared" si="83"/>
        <v/>
      </c>
      <c r="T527" t="str">
        <f>IF(C527="","",InventoryTable[[#This Row],[Profit per Unit]]*InventoryTable[[#This Row],[Total Pieces]])</f>
        <v/>
      </c>
      <c r="U527" t="str">
        <f t="shared" si="84"/>
        <v/>
      </c>
      <c r="V527" t="str">
        <f>IF(C527="","",H527-InventoryTable[[#This Row],[Units Sold]])</f>
        <v/>
      </c>
      <c r="W527" t="str">
        <f t="shared" si="85"/>
        <v/>
      </c>
      <c r="X527" t="str">
        <f t="shared" si="86"/>
        <v/>
      </c>
      <c r="Y527" t="str">
        <f>IF(C527="","",IF(InventoryTable[[#This Row],[Stock Balance]]&lt;=0,"Sold Out",IF((InventoryTable[[#This Row],[Stock Balance]]/InventoryTable[[#This Row],[Total Pieces]])&lt;=0.25,"Low on Stocks","Available")))</f>
        <v/>
      </c>
    </row>
    <row r="528" spans="1:25" x14ac:dyDescent="0.3">
      <c r="A528" t="str">
        <f>IF(C528="","",_xlfn.CONCAT(LEFT(InventoryTable[[#This Row],[Category]],1),InventoryTable[[#This Row],[Product Pricing Type]],ROW()))</f>
        <v/>
      </c>
      <c r="H528" t="str">
        <f t="shared" si="77"/>
        <v/>
      </c>
      <c r="K528" t="str">
        <f t="shared" si="78"/>
        <v/>
      </c>
      <c r="N528" t="str">
        <f t="shared" si="79"/>
        <v/>
      </c>
      <c r="P528" t="str">
        <f t="shared" si="80"/>
        <v/>
      </c>
      <c r="Q528" s="4" t="str">
        <f t="shared" si="81"/>
        <v/>
      </c>
      <c r="R528" t="str">
        <f t="shared" si="82"/>
        <v/>
      </c>
      <c r="S528" t="str">
        <f t="shared" si="83"/>
        <v/>
      </c>
      <c r="T528" t="str">
        <f>IF(C528="","",InventoryTable[[#This Row],[Profit per Unit]]*InventoryTable[[#This Row],[Total Pieces]])</f>
        <v/>
      </c>
      <c r="U528" t="str">
        <f t="shared" si="84"/>
        <v/>
      </c>
      <c r="V528" t="str">
        <f>IF(C528="","",H528-InventoryTable[[#This Row],[Units Sold]])</f>
        <v/>
      </c>
      <c r="W528" t="str">
        <f t="shared" si="85"/>
        <v/>
      </c>
      <c r="X528" t="str">
        <f t="shared" si="86"/>
        <v/>
      </c>
      <c r="Y528" t="str">
        <f>IF(C528="","",IF(InventoryTable[[#This Row],[Stock Balance]]&lt;=0,"Sold Out",IF((InventoryTable[[#This Row],[Stock Balance]]/InventoryTable[[#This Row],[Total Pieces]])&lt;=0.25,"Low on Stocks","Available")))</f>
        <v/>
      </c>
    </row>
    <row r="529" spans="1:25" x14ac:dyDescent="0.3">
      <c r="A529" t="str">
        <f>IF(C529="","",_xlfn.CONCAT(LEFT(InventoryTable[[#This Row],[Category]],1),InventoryTable[[#This Row],[Product Pricing Type]],ROW()))</f>
        <v/>
      </c>
      <c r="H529" t="str">
        <f t="shared" si="77"/>
        <v/>
      </c>
      <c r="K529" t="str">
        <f t="shared" si="78"/>
        <v/>
      </c>
      <c r="N529" t="str">
        <f t="shared" si="79"/>
        <v/>
      </c>
      <c r="P529" t="str">
        <f t="shared" si="80"/>
        <v/>
      </c>
      <c r="Q529" s="4" t="str">
        <f t="shared" si="81"/>
        <v/>
      </c>
      <c r="R529" t="str">
        <f t="shared" si="82"/>
        <v/>
      </c>
      <c r="S529" t="str">
        <f t="shared" si="83"/>
        <v/>
      </c>
      <c r="T529" t="str">
        <f>IF(C529="","",InventoryTable[[#This Row],[Profit per Unit]]*InventoryTable[[#This Row],[Total Pieces]])</f>
        <v/>
      </c>
      <c r="U529" t="str">
        <f t="shared" si="84"/>
        <v/>
      </c>
      <c r="V529" t="str">
        <f>IF(C529="","",H529-InventoryTable[[#This Row],[Units Sold]])</f>
        <v/>
      </c>
      <c r="W529" t="str">
        <f t="shared" si="85"/>
        <v/>
      </c>
      <c r="X529" t="str">
        <f t="shared" si="86"/>
        <v/>
      </c>
      <c r="Y529" t="str">
        <f>IF(C529="","",IF(InventoryTable[[#This Row],[Stock Balance]]&lt;=0,"Sold Out",IF((InventoryTable[[#This Row],[Stock Balance]]/InventoryTable[[#This Row],[Total Pieces]])&lt;=0.25,"Low on Stocks","Available")))</f>
        <v/>
      </c>
    </row>
    <row r="530" spans="1:25" x14ac:dyDescent="0.3">
      <c r="A530" t="str">
        <f>IF(C530="","",_xlfn.CONCAT(LEFT(InventoryTable[[#This Row],[Category]],1),InventoryTable[[#This Row],[Product Pricing Type]],ROW()))</f>
        <v/>
      </c>
      <c r="H530" t="str">
        <f t="shared" si="77"/>
        <v/>
      </c>
      <c r="K530" t="str">
        <f t="shared" si="78"/>
        <v/>
      </c>
      <c r="N530" t="str">
        <f t="shared" si="79"/>
        <v/>
      </c>
      <c r="P530" t="str">
        <f t="shared" si="80"/>
        <v/>
      </c>
      <c r="Q530" s="4" t="str">
        <f t="shared" si="81"/>
        <v/>
      </c>
      <c r="R530" t="str">
        <f t="shared" si="82"/>
        <v/>
      </c>
      <c r="S530" t="str">
        <f t="shared" si="83"/>
        <v/>
      </c>
      <c r="T530" t="str">
        <f>IF(C530="","",InventoryTable[[#This Row],[Profit per Unit]]*InventoryTable[[#This Row],[Total Pieces]])</f>
        <v/>
      </c>
      <c r="U530" t="str">
        <f t="shared" si="84"/>
        <v/>
      </c>
      <c r="V530" t="str">
        <f>IF(C530="","",H530-InventoryTable[[#This Row],[Units Sold]])</f>
        <v/>
      </c>
      <c r="W530" t="str">
        <f t="shared" si="85"/>
        <v/>
      </c>
      <c r="X530" t="str">
        <f t="shared" si="86"/>
        <v/>
      </c>
      <c r="Y530" t="str">
        <f>IF(C530="","",IF(InventoryTable[[#This Row],[Stock Balance]]&lt;=0,"Sold Out",IF((InventoryTable[[#This Row],[Stock Balance]]/InventoryTable[[#This Row],[Total Pieces]])&lt;=0.25,"Low on Stocks","Available")))</f>
        <v/>
      </c>
    </row>
    <row r="531" spans="1:25" x14ac:dyDescent="0.3">
      <c r="A531" t="str">
        <f>IF(C531="","",_xlfn.CONCAT(LEFT(InventoryTable[[#This Row],[Category]],1),InventoryTable[[#This Row],[Product Pricing Type]],ROW()))</f>
        <v/>
      </c>
      <c r="H531" t="str">
        <f t="shared" si="77"/>
        <v/>
      </c>
      <c r="K531" t="str">
        <f t="shared" si="78"/>
        <v/>
      </c>
      <c r="N531" t="str">
        <f t="shared" si="79"/>
        <v/>
      </c>
      <c r="P531" t="str">
        <f t="shared" si="80"/>
        <v/>
      </c>
      <c r="Q531" s="4" t="str">
        <f t="shared" si="81"/>
        <v/>
      </c>
      <c r="R531" t="str">
        <f t="shared" si="82"/>
        <v/>
      </c>
      <c r="S531" t="str">
        <f t="shared" si="83"/>
        <v/>
      </c>
      <c r="T531" t="str">
        <f>IF(C531="","",InventoryTable[[#This Row],[Profit per Unit]]*InventoryTable[[#This Row],[Total Pieces]])</f>
        <v/>
      </c>
      <c r="U531" t="str">
        <f t="shared" si="84"/>
        <v/>
      </c>
      <c r="V531" t="str">
        <f>IF(C531="","",H531-InventoryTable[[#This Row],[Units Sold]])</f>
        <v/>
      </c>
      <c r="W531" t="str">
        <f t="shared" si="85"/>
        <v/>
      </c>
      <c r="X531" t="str">
        <f t="shared" si="86"/>
        <v/>
      </c>
      <c r="Y531" t="str">
        <f>IF(C531="","",IF(InventoryTable[[#This Row],[Stock Balance]]&lt;=0,"Sold Out",IF((InventoryTable[[#This Row],[Stock Balance]]/InventoryTable[[#This Row],[Total Pieces]])&lt;=0.25,"Low on Stocks","Available")))</f>
        <v/>
      </c>
    </row>
    <row r="532" spans="1:25" x14ac:dyDescent="0.3">
      <c r="A532" t="str">
        <f>IF(C532="","",_xlfn.CONCAT(LEFT(InventoryTable[[#This Row],[Category]],1),InventoryTable[[#This Row],[Product Pricing Type]],ROW()))</f>
        <v/>
      </c>
      <c r="H532" t="str">
        <f t="shared" si="77"/>
        <v/>
      </c>
      <c r="K532" t="str">
        <f t="shared" si="78"/>
        <v/>
      </c>
      <c r="N532" t="str">
        <f t="shared" si="79"/>
        <v/>
      </c>
      <c r="P532" t="str">
        <f t="shared" si="80"/>
        <v/>
      </c>
      <c r="Q532" s="4" t="str">
        <f t="shared" si="81"/>
        <v/>
      </c>
      <c r="R532" t="str">
        <f t="shared" si="82"/>
        <v/>
      </c>
      <c r="S532" t="str">
        <f t="shared" si="83"/>
        <v/>
      </c>
      <c r="T532" t="str">
        <f>IF(C532="","",InventoryTable[[#This Row],[Profit per Unit]]*InventoryTable[[#This Row],[Total Pieces]])</f>
        <v/>
      </c>
      <c r="U532" t="str">
        <f t="shared" si="84"/>
        <v/>
      </c>
      <c r="V532" t="str">
        <f>IF(C532="","",H532-InventoryTable[[#This Row],[Units Sold]])</f>
        <v/>
      </c>
      <c r="W532" t="str">
        <f t="shared" si="85"/>
        <v/>
      </c>
      <c r="X532" t="str">
        <f t="shared" si="86"/>
        <v/>
      </c>
      <c r="Y532" t="str">
        <f>IF(C532="","",IF(InventoryTable[[#This Row],[Stock Balance]]&lt;=0,"Sold Out",IF((InventoryTable[[#This Row],[Stock Balance]]/InventoryTable[[#This Row],[Total Pieces]])&lt;=0.25,"Low on Stocks","Available")))</f>
        <v/>
      </c>
    </row>
    <row r="533" spans="1:25" x14ac:dyDescent="0.3">
      <c r="A533" t="str">
        <f>IF(C533="","",_xlfn.CONCAT(LEFT(InventoryTable[[#This Row],[Category]],1),InventoryTable[[#This Row],[Product Pricing Type]],ROW()))</f>
        <v/>
      </c>
      <c r="H533" t="str">
        <f t="shared" si="77"/>
        <v/>
      </c>
      <c r="K533" t="str">
        <f t="shared" si="78"/>
        <v/>
      </c>
      <c r="N533" t="str">
        <f t="shared" si="79"/>
        <v/>
      </c>
      <c r="P533" t="str">
        <f t="shared" si="80"/>
        <v/>
      </c>
      <c r="Q533" s="4" t="str">
        <f t="shared" si="81"/>
        <v/>
      </c>
      <c r="R533" t="str">
        <f t="shared" si="82"/>
        <v/>
      </c>
      <c r="S533" t="str">
        <f t="shared" si="83"/>
        <v/>
      </c>
      <c r="T533" t="str">
        <f>IF(C533="","",InventoryTable[[#This Row],[Profit per Unit]]*InventoryTable[[#This Row],[Total Pieces]])</f>
        <v/>
      </c>
      <c r="U533" t="str">
        <f t="shared" si="84"/>
        <v/>
      </c>
      <c r="V533" t="str">
        <f>IF(C533="","",H533-InventoryTable[[#This Row],[Units Sold]])</f>
        <v/>
      </c>
      <c r="W533" t="str">
        <f t="shared" si="85"/>
        <v/>
      </c>
      <c r="X533" t="str">
        <f t="shared" si="86"/>
        <v/>
      </c>
      <c r="Y533" t="str">
        <f>IF(C533="","",IF(InventoryTable[[#This Row],[Stock Balance]]&lt;=0,"Sold Out",IF((InventoryTable[[#This Row],[Stock Balance]]/InventoryTable[[#This Row],[Total Pieces]])&lt;=0.25,"Low on Stocks","Available")))</f>
        <v/>
      </c>
    </row>
    <row r="534" spans="1:25" x14ac:dyDescent="0.3">
      <c r="A534" t="str">
        <f>IF(C534="","",_xlfn.CONCAT(LEFT(InventoryTable[[#This Row],[Category]],1),InventoryTable[[#This Row],[Product Pricing Type]],ROW()))</f>
        <v/>
      </c>
      <c r="H534" t="str">
        <f t="shared" si="77"/>
        <v/>
      </c>
      <c r="K534" t="str">
        <f t="shared" si="78"/>
        <v/>
      </c>
      <c r="N534" t="str">
        <f t="shared" si="79"/>
        <v/>
      </c>
      <c r="P534" t="str">
        <f t="shared" si="80"/>
        <v/>
      </c>
      <c r="Q534" s="4" t="str">
        <f t="shared" si="81"/>
        <v/>
      </c>
      <c r="R534" t="str">
        <f t="shared" si="82"/>
        <v/>
      </c>
      <c r="S534" t="str">
        <f t="shared" si="83"/>
        <v/>
      </c>
      <c r="T534" t="str">
        <f>IF(C534="","",InventoryTable[[#This Row],[Profit per Unit]]*InventoryTable[[#This Row],[Total Pieces]])</f>
        <v/>
      </c>
      <c r="U534" t="str">
        <f t="shared" si="84"/>
        <v/>
      </c>
      <c r="V534" t="str">
        <f>IF(C534="","",H534-InventoryTable[[#This Row],[Units Sold]])</f>
        <v/>
      </c>
      <c r="W534" t="str">
        <f t="shared" si="85"/>
        <v/>
      </c>
      <c r="X534" t="str">
        <f t="shared" si="86"/>
        <v/>
      </c>
      <c r="Y534" t="str">
        <f>IF(C534="","",IF(InventoryTable[[#This Row],[Stock Balance]]&lt;=0,"Sold Out",IF((InventoryTable[[#This Row],[Stock Balance]]/InventoryTable[[#This Row],[Total Pieces]])&lt;=0.25,"Low on Stocks","Available")))</f>
        <v/>
      </c>
    </row>
    <row r="535" spans="1:25" x14ac:dyDescent="0.3">
      <c r="A535" t="str">
        <f>IF(C535="","",_xlfn.CONCAT(LEFT(InventoryTable[[#This Row],[Category]],1),InventoryTable[[#This Row],[Product Pricing Type]],ROW()))</f>
        <v/>
      </c>
      <c r="H535" t="str">
        <f t="shared" si="77"/>
        <v/>
      </c>
      <c r="K535" t="str">
        <f t="shared" si="78"/>
        <v/>
      </c>
      <c r="N535" t="str">
        <f t="shared" si="79"/>
        <v/>
      </c>
      <c r="P535" t="str">
        <f t="shared" si="80"/>
        <v/>
      </c>
      <c r="Q535" s="4" t="str">
        <f t="shared" si="81"/>
        <v/>
      </c>
      <c r="R535" t="str">
        <f t="shared" si="82"/>
        <v/>
      </c>
      <c r="S535" t="str">
        <f t="shared" si="83"/>
        <v/>
      </c>
      <c r="T535" t="str">
        <f>IF(C535="","",InventoryTable[[#This Row],[Profit per Unit]]*InventoryTable[[#This Row],[Total Pieces]])</f>
        <v/>
      </c>
      <c r="U535" t="str">
        <f t="shared" si="84"/>
        <v/>
      </c>
      <c r="V535" t="str">
        <f>IF(C535="","",H535-InventoryTable[[#This Row],[Units Sold]])</f>
        <v/>
      </c>
      <c r="W535" t="str">
        <f t="shared" si="85"/>
        <v/>
      </c>
      <c r="X535" t="str">
        <f t="shared" si="86"/>
        <v/>
      </c>
      <c r="Y535" t="str">
        <f>IF(C535="","",IF(InventoryTable[[#This Row],[Stock Balance]]&lt;=0,"Sold Out",IF((InventoryTable[[#This Row],[Stock Balance]]/InventoryTable[[#This Row],[Total Pieces]])&lt;=0.25,"Low on Stocks","Available")))</f>
        <v/>
      </c>
    </row>
    <row r="536" spans="1:25" x14ac:dyDescent="0.3">
      <c r="A536" t="str">
        <f>IF(C536="","",_xlfn.CONCAT(LEFT(InventoryTable[[#This Row],[Category]],1),InventoryTable[[#This Row],[Product Pricing Type]],ROW()))</f>
        <v/>
      </c>
      <c r="H536" t="str">
        <f t="shared" si="77"/>
        <v/>
      </c>
      <c r="K536" t="str">
        <f t="shared" si="78"/>
        <v/>
      </c>
      <c r="N536" t="str">
        <f t="shared" si="79"/>
        <v/>
      </c>
      <c r="P536" t="str">
        <f t="shared" si="80"/>
        <v/>
      </c>
      <c r="Q536" s="4" t="str">
        <f t="shared" si="81"/>
        <v/>
      </c>
      <c r="R536" t="str">
        <f t="shared" si="82"/>
        <v/>
      </c>
      <c r="S536" t="str">
        <f t="shared" si="83"/>
        <v/>
      </c>
      <c r="T536" t="str">
        <f>IF(C536="","",InventoryTable[[#This Row],[Profit per Unit]]*InventoryTable[[#This Row],[Total Pieces]])</f>
        <v/>
      </c>
      <c r="U536" t="str">
        <f t="shared" si="84"/>
        <v/>
      </c>
      <c r="V536" t="str">
        <f>IF(C536="","",H536-InventoryTable[[#This Row],[Units Sold]])</f>
        <v/>
      </c>
      <c r="W536" t="str">
        <f t="shared" si="85"/>
        <v/>
      </c>
      <c r="X536" t="str">
        <f t="shared" si="86"/>
        <v/>
      </c>
      <c r="Y536" t="str">
        <f>IF(C536="","",IF(InventoryTable[[#This Row],[Stock Balance]]&lt;=0,"Sold Out",IF((InventoryTable[[#This Row],[Stock Balance]]/InventoryTable[[#This Row],[Total Pieces]])&lt;=0.25,"Low on Stocks","Available")))</f>
        <v/>
      </c>
    </row>
    <row r="537" spans="1:25" x14ac:dyDescent="0.3">
      <c r="A537" t="str">
        <f>IF(C537="","",_xlfn.CONCAT(LEFT(InventoryTable[[#This Row],[Category]],1),InventoryTable[[#This Row],[Product Pricing Type]],ROW()))</f>
        <v/>
      </c>
      <c r="H537" t="str">
        <f t="shared" si="77"/>
        <v/>
      </c>
      <c r="K537" t="str">
        <f t="shared" si="78"/>
        <v/>
      </c>
      <c r="N537" t="str">
        <f t="shared" si="79"/>
        <v/>
      </c>
      <c r="P537" t="str">
        <f t="shared" si="80"/>
        <v/>
      </c>
      <c r="Q537" s="4" t="str">
        <f t="shared" si="81"/>
        <v/>
      </c>
      <c r="R537" t="str">
        <f t="shared" si="82"/>
        <v/>
      </c>
      <c r="S537" t="str">
        <f t="shared" si="83"/>
        <v/>
      </c>
      <c r="T537" t="str">
        <f>IF(C537="","",InventoryTable[[#This Row],[Profit per Unit]]*InventoryTable[[#This Row],[Total Pieces]])</f>
        <v/>
      </c>
      <c r="U537" t="str">
        <f t="shared" si="84"/>
        <v/>
      </c>
      <c r="V537" t="str">
        <f>IF(C537="","",H537-InventoryTable[[#This Row],[Units Sold]])</f>
        <v/>
      </c>
      <c r="W537" t="str">
        <f t="shared" si="85"/>
        <v/>
      </c>
      <c r="X537" t="str">
        <f t="shared" si="86"/>
        <v/>
      </c>
      <c r="Y537" t="str">
        <f>IF(C537="","",IF(InventoryTable[[#This Row],[Stock Balance]]&lt;=0,"Sold Out",IF((InventoryTable[[#This Row],[Stock Balance]]/InventoryTable[[#This Row],[Total Pieces]])&lt;=0.25,"Low on Stocks","Available")))</f>
        <v/>
      </c>
    </row>
    <row r="538" spans="1:25" x14ac:dyDescent="0.3">
      <c r="A538" t="str">
        <f>IF(C538="","",_xlfn.CONCAT(LEFT(InventoryTable[[#This Row],[Category]],1),InventoryTable[[#This Row],[Product Pricing Type]],ROW()))</f>
        <v/>
      </c>
      <c r="H538" t="str">
        <f t="shared" si="77"/>
        <v/>
      </c>
      <c r="K538" t="str">
        <f t="shared" si="78"/>
        <v/>
      </c>
      <c r="N538" t="str">
        <f t="shared" si="79"/>
        <v/>
      </c>
      <c r="P538" t="str">
        <f t="shared" si="80"/>
        <v/>
      </c>
      <c r="Q538" s="4" t="str">
        <f t="shared" si="81"/>
        <v/>
      </c>
      <c r="R538" t="str">
        <f t="shared" si="82"/>
        <v/>
      </c>
      <c r="S538" t="str">
        <f t="shared" si="83"/>
        <v/>
      </c>
      <c r="T538" t="str">
        <f>IF(C538="","",InventoryTable[[#This Row],[Profit per Unit]]*InventoryTable[[#This Row],[Total Pieces]])</f>
        <v/>
      </c>
      <c r="U538" t="str">
        <f t="shared" si="84"/>
        <v/>
      </c>
      <c r="V538" t="str">
        <f>IF(C538="","",H538-InventoryTable[[#This Row],[Units Sold]])</f>
        <v/>
      </c>
      <c r="W538" t="str">
        <f t="shared" si="85"/>
        <v/>
      </c>
      <c r="X538" t="str">
        <f t="shared" si="86"/>
        <v/>
      </c>
      <c r="Y538" t="str">
        <f>IF(C538="","",IF(InventoryTable[[#This Row],[Stock Balance]]&lt;=0,"Sold Out",IF((InventoryTable[[#This Row],[Stock Balance]]/InventoryTable[[#This Row],[Total Pieces]])&lt;=0.25,"Low on Stocks","Available")))</f>
        <v/>
      </c>
    </row>
    <row r="539" spans="1:25" x14ac:dyDescent="0.3">
      <c r="A539" t="str">
        <f>IF(C539="","",_xlfn.CONCAT(LEFT(InventoryTable[[#This Row],[Category]],1),InventoryTable[[#This Row],[Product Pricing Type]],ROW()))</f>
        <v/>
      </c>
      <c r="H539" t="str">
        <f t="shared" si="77"/>
        <v/>
      </c>
      <c r="K539" t="str">
        <f t="shared" si="78"/>
        <v/>
      </c>
      <c r="N539" t="str">
        <f t="shared" si="79"/>
        <v/>
      </c>
      <c r="P539" t="str">
        <f t="shared" si="80"/>
        <v/>
      </c>
      <c r="Q539" s="4" t="str">
        <f t="shared" si="81"/>
        <v/>
      </c>
      <c r="R539" t="str">
        <f t="shared" si="82"/>
        <v/>
      </c>
      <c r="S539" t="str">
        <f t="shared" si="83"/>
        <v/>
      </c>
      <c r="T539" t="str">
        <f>IF(C539="","",InventoryTable[[#This Row],[Profit per Unit]]*InventoryTable[[#This Row],[Total Pieces]])</f>
        <v/>
      </c>
      <c r="U539" t="str">
        <f t="shared" si="84"/>
        <v/>
      </c>
      <c r="V539" t="str">
        <f>IF(C539="","",H539-InventoryTable[[#This Row],[Units Sold]])</f>
        <v/>
      </c>
      <c r="W539" t="str">
        <f t="shared" si="85"/>
        <v/>
      </c>
      <c r="X539" t="str">
        <f t="shared" si="86"/>
        <v/>
      </c>
      <c r="Y539" t="str">
        <f>IF(C539="","",IF(InventoryTable[[#This Row],[Stock Balance]]&lt;=0,"Sold Out",IF((InventoryTable[[#This Row],[Stock Balance]]/InventoryTable[[#This Row],[Total Pieces]])&lt;=0.25,"Low on Stocks","Available")))</f>
        <v/>
      </c>
    </row>
    <row r="540" spans="1:25" x14ac:dyDescent="0.3">
      <c r="A540" t="str">
        <f>IF(C540="","",_xlfn.CONCAT(LEFT(InventoryTable[[#This Row],[Category]],1),InventoryTable[[#This Row],[Product Pricing Type]],ROW()))</f>
        <v/>
      </c>
      <c r="H540" t="str">
        <f t="shared" si="77"/>
        <v/>
      </c>
      <c r="K540" t="str">
        <f t="shared" si="78"/>
        <v/>
      </c>
      <c r="N540" t="str">
        <f t="shared" si="79"/>
        <v/>
      </c>
      <c r="P540" t="str">
        <f t="shared" si="80"/>
        <v/>
      </c>
      <c r="Q540" s="4" t="str">
        <f t="shared" si="81"/>
        <v/>
      </c>
      <c r="R540" t="str">
        <f t="shared" si="82"/>
        <v/>
      </c>
      <c r="S540" t="str">
        <f t="shared" si="83"/>
        <v/>
      </c>
      <c r="T540" t="str">
        <f>IF(C540="","",InventoryTable[[#This Row],[Profit per Unit]]*InventoryTable[[#This Row],[Total Pieces]])</f>
        <v/>
      </c>
      <c r="U540" t="str">
        <f t="shared" si="84"/>
        <v/>
      </c>
      <c r="V540" t="str">
        <f>IF(C540="","",H540-InventoryTable[[#This Row],[Units Sold]])</f>
        <v/>
      </c>
      <c r="W540" t="str">
        <f t="shared" si="85"/>
        <v/>
      </c>
      <c r="X540" t="str">
        <f t="shared" si="86"/>
        <v/>
      </c>
      <c r="Y540" t="str">
        <f>IF(C540="","",IF(InventoryTable[[#This Row],[Stock Balance]]&lt;=0,"Sold Out",IF((InventoryTable[[#This Row],[Stock Balance]]/InventoryTable[[#This Row],[Total Pieces]])&lt;=0.25,"Low on Stocks","Available")))</f>
        <v/>
      </c>
    </row>
    <row r="541" spans="1:25" x14ac:dyDescent="0.3">
      <c r="A541" t="str">
        <f>IF(C541="","",_xlfn.CONCAT(LEFT(InventoryTable[[#This Row],[Category]],1),InventoryTable[[#This Row],[Product Pricing Type]],ROW()))</f>
        <v/>
      </c>
      <c r="H541" t="str">
        <f t="shared" si="77"/>
        <v/>
      </c>
      <c r="K541" t="str">
        <f t="shared" si="78"/>
        <v/>
      </c>
      <c r="N541" t="str">
        <f t="shared" si="79"/>
        <v/>
      </c>
      <c r="P541" t="str">
        <f t="shared" si="80"/>
        <v/>
      </c>
      <c r="Q541" s="4" t="str">
        <f t="shared" si="81"/>
        <v/>
      </c>
      <c r="R541" t="str">
        <f t="shared" si="82"/>
        <v/>
      </c>
      <c r="S541" t="str">
        <f t="shared" si="83"/>
        <v/>
      </c>
      <c r="T541" t="str">
        <f>IF(C541="","",InventoryTable[[#This Row],[Profit per Unit]]*InventoryTable[[#This Row],[Total Pieces]])</f>
        <v/>
      </c>
      <c r="U541" t="str">
        <f t="shared" si="84"/>
        <v/>
      </c>
      <c r="V541" t="str">
        <f>IF(C541="","",H541-InventoryTable[[#This Row],[Units Sold]])</f>
        <v/>
      </c>
      <c r="W541" t="str">
        <f t="shared" si="85"/>
        <v/>
      </c>
      <c r="X541" t="str">
        <f t="shared" si="86"/>
        <v/>
      </c>
      <c r="Y541" t="str">
        <f>IF(C541="","",IF(InventoryTable[[#This Row],[Stock Balance]]&lt;=0,"Sold Out",IF((InventoryTable[[#This Row],[Stock Balance]]/InventoryTable[[#This Row],[Total Pieces]])&lt;=0.25,"Low on Stocks","Available")))</f>
        <v/>
      </c>
    </row>
    <row r="542" spans="1:25" x14ac:dyDescent="0.3">
      <c r="A542" t="str">
        <f>IF(C542="","",_xlfn.CONCAT(LEFT(InventoryTable[[#This Row],[Category]],1),InventoryTable[[#This Row],[Product Pricing Type]],ROW()))</f>
        <v/>
      </c>
      <c r="H542" t="str">
        <f t="shared" si="77"/>
        <v/>
      </c>
      <c r="K542" t="str">
        <f t="shared" si="78"/>
        <v/>
      </c>
      <c r="N542" t="str">
        <f t="shared" si="79"/>
        <v/>
      </c>
      <c r="P542" t="str">
        <f t="shared" si="80"/>
        <v/>
      </c>
      <c r="Q542" s="4" t="str">
        <f t="shared" si="81"/>
        <v/>
      </c>
      <c r="R542" t="str">
        <f t="shared" si="82"/>
        <v/>
      </c>
      <c r="S542" t="str">
        <f t="shared" si="83"/>
        <v/>
      </c>
      <c r="T542" t="str">
        <f>IF(C542="","",InventoryTable[[#This Row],[Profit per Unit]]*InventoryTable[[#This Row],[Total Pieces]])</f>
        <v/>
      </c>
      <c r="U542" t="str">
        <f t="shared" si="84"/>
        <v/>
      </c>
      <c r="V542" t="str">
        <f>IF(C542="","",H542-InventoryTable[[#This Row],[Units Sold]])</f>
        <v/>
      </c>
      <c r="W542" t="str">
        <f t="shared" si="85"/>
        <v/>
      </c>
      <c r="X542" t="str">
        <f t="shared" si="86"/>
        <v/>
      </c>
      <c r="Y542" t="str">
        <f>IF(C542="","",IF(InventoryTable[[#This Row],[Stock Balance]]&lt;=0,"Sold Out",IF((InventoryTable[[#This Row],[Stock Balance]]/InventoryTable[[#This Row],[Total Pieces]])&lt;=0.25,"Low on Stocks","Available")))</f>
        <v/>
      </c>
    </row>
    <row r="543" spans="1:25" x14ac:dyDescent="0.3">
      <c r="A543" t="str">
        <f>IF(C543="","",_xlfn.CONCAT(LEFT(InventoryTable[[#This Row],[Category]],1),InventoryTable[[#This Row],[Product Pricing Type]],ROW()))</f>
        <v/>
      </c>
      <c r="H543" t="str">
        <f t="shared" si="77"/>
        <v/>
      </c>
      <c r="K543" t="str">
        <f t="shared" si="78"/>
        <v/>
      </c>
      <c r="N543" t="str">
        <f t="shared" si="79"/>
        <v/>
      </c>
      <c r="P543" t="str">
        <f t="shared" si="80"/>
        <v/>
      </c>
      <c r="Q543" s="4" t="str">
        <f t="shared" si="81"/>
        <v/>
      </c>
      <c r="R543" t="str">
        <f t="shared" si="82"/>
        <v/>
      </c>
      <c r="S543" t="str">
        <f t="shared" si="83"/>
        <v/>
      </c>
      <c r="T543" t="str">
        <f>IF(C543="","",InventoryTable[[#This Row],[Profit per Unit]]*InventoryTable[[#This Row],[Total Pieces]])</f>
        <v/>
      </c>
      <c r="U543" t="str">
        <f t="shared" si="84"/>
        <v/>
      </c>
      <c r="V543" t="str">
        <f>IF(C543="","",H543-InventoryTable[[#This Row],[Units Sold]])</f>
        <v/>
      </c>
      <c r="W543" t="str">
        <f t="shared" si="85"/>
        <v/>
      </c>
      <c r="X543" t="str">
        <f t="shared" si="86"/>
        <v/>
      </c>
      <c r="Y543" t="str">
        <f>IF(C543="","",IF(InventoryTable[[#This Row],[Stock Balance]]&lt;=0,"Sold Out",IF((InventoryTable[[#This Row],[Stock Balance]]/InventoryTable[[#This Row],[Total Pieces]])&lt;=0.25,"Low on Stocks","Available")))</f>
        <v/>
      </c>
    </row>
    <row r="544" spans="1:25" x14ac:dyDescent="0.3">
      <c r="A544" t="str">
        <f>IF(C544="","",_xlfn.CONCAT(LEFT(InventoryTable[[#This Row],[Category]],1),InventoryTable[[#This Row],[Product Pricing Type]],ROW()))</f>
        <v/>
      </c>
      <c r="H544" t="str">
        <f t="shared" si="77"/>
        <v/>
      </c>
      <c r="K544" t="str">
        <f t="shared" si="78"/>
        <v/>
      </c>
      <c r="N544" t="str">
        <f t="shared" si="79"/>
        <v/>
      </c>
      <c r="P544" t="str">
        <f t="shared" si="80"/>
        <v/>
      </c>
      <c r="Q544" s="4" t="str">
        <f t="shared" si="81"/>
        <v/>
      </c>
      <c r="R544" t="str">
        <f t="shared" si="82"/>
        <v/>
      </c>
      <c r="S544" t="str">
        <f t="shared" si="83"/>
        <v/>
      </c>
      <c r="T544" t="str">
        <f>IF(C544="","",InventoryTable[[#This Row],[Profit per Unit]]*InventoryTable[[#This Row],[Total Pieces]])</f>
        <v/>
      </c>
      <c r="U544" t="str">
        <f t="shared" si="84"/>
        <v/>
      </c>
      <c r="V544" t="str">
        <f>IF(C544="","",H544-InventoryTable[[#This Row],[Units Sold]])</f>
        <v/>
      </c>
      <c r="W544" t="str">
        <f t="shared" si="85"/>
        <v/>
      </c>
      <c r="X544" t="str">
        <f t="shared" si="86"/>
        <v/>
      </c>
      <c r="Y544" t="str">
        <f>IF(C544="","",IF(InventoryTable[[#This Row],[Stock Balance]]&lt;=0,"Sold Out",IF((InventoryTable[[#This Row],[Stock Balance]]/InventoryTable[[#This Row],[Total Pieces]])&lt;=0.25,"Low on Stocks","Available")))</f>
        <v/>
      </c>
    </row>
    <row r="545" spans="1:25" x14ac:dyDescent="0.3">
      <c r="A545" t="str">
        <f>IF(C545="","",_xlfn.CONCAT(LEFT(InventoryTable[[#This Row],[Category]],1),InventoryTable[[#This Row],[Product Pricing Type]],ROW()))</f>
        <v/>
      </c>
      <c r="H545" t="str">
        <f t="shared" ref="H545:H608" si="87">IF(C545="","",G545*F545)</f>
        <v/>
      </c>
      <c r="K545" t="str">
        <f t="shared" ref="K545:K608" si="88">IF(C545="","",IF(J545=1,I545/H545,I545*G545*F545))</f>
        <v/>
      </c>
      <c r="N545" t="str">
        <f t="shared" ref="N545:N608" si="89">IF(C545="","",IF(J545=1,K545+(K545*M545),I545+(I545*M545)))</f>
        <v/>
      </c>
      <c r="P545" t="str">
        <f t="shared" ref="P545:P608" si="90">IF(C545="","",N545+(N545*O545))</f>
        <v/>
      </c>
      <c r="Q545" s="4" t="str">
        <f t="shared" ref="Q545:Q608" si="91">IF(C545="","",ROUNDUP(P545,0))</f>
        <v/>
      </c>
      <c r="R545" t="str">
        <f t="shared" ref="R545:R608" si="92">IF(C545="","")</f>
        <v/>
      </c>
      <c r="S545" t="str">
        <f t="shared" ref="S545:S608" si="93">IF(C545="","",IF(COUNTIF(C545,"*Fixed*")&gt;0,(K545-R545)/H545,IF(J545=1,Q545-K545,Q545-I545)))</f>
        <v/>
      </c>
      <c r="T545" t="str">
        <f>IF(C545="","",InventoryTable[[#This Row],[Profit per Unit]]*InventoryTable[[#This Row],[Total Pieces]])</f>
        <v/>
      </c>
      <c r="U545" t="str">
        <f t="shared" si="84"/>
        <v/>
      </c>
      <c r="V545" t="str">
        <f>IF(C545="","",H545-InventoryTable[[#This Row],[Units Sold]])</f>
        <v/>
      </c>
      <c r="W545" t="str">
        <f t="shared" si="85"/>
        <v/>
      </c>
      <c r="X545" t="str">
        <f t="shared" si="86"/>
        <v/>
      </c>
      <c r="Y545" t="str">
        <f>IF(C545="","",IF(InventoryTable[[#This Row],[Stock Balance]]&lt;=0,"Sold Out",IF((InventoryTable[[#This Row],[Stock Balance]]/InventoryTable[[#This Row],[Total Pieces]])&lt;=0.25,"Low on Stocks","Available")))</f>
        <v/>
      </c>
    </row>
    <row r="546" spans="1:25" x14ac:dyDescent="0.3">
      <c r="A546" t="str">
        <f>IF(C546="","",_xlfn.CONCAT(LEFT(InventoryTable[[#This Row],[Category]],1),InventoryTable[[#This Row],[Product Pricing Type]],ROW()))</f>
        <v/>
      </c>
      <c r="H546" t="str">
        <f t="shared" si="87"/>
        <v/>
      </c>
      <c r="K546" t="str">
        <f t="shared" si="88"/>
        <v/>
      </c>
      <c r="N546" t="str">
        <f t="shared" si="89"/>
        <v/>
      </c>
      <c r="P546" t="str">
        <f t="shared" si="90"/>
        <v/>
      </c>
      <c r="Q546" s="4" t="str">
        <f t="shared" si="91"/>
        <v/>
      </c>
      <c r="R546" t="str">
        <f t="shared" si="92"/>
        <v/>
      </c>
      <c r="S546" t="str">
        <f t="shared" si="93"/>
        <v/>
      </c>
      <c r="T546" t="str">
        <f>IF(C546="","",InventoryTable[[#This Row],[Profit per Unit]]*InventoryTable[[#This Row],[Total Pieces]])</f>
        <v/>
      </c>
      <c r="U546" t="str">
        <f t="shared" si="84"/>
        <v/>
      </c>
      <c r="V546" t="str">
        <f>IF(C546="","",H546-InventoryTable[[#This Row],[Units Sold]])</f>
        <v/>
      </c>
      <c r="W546" t="str">
        <f t="shared" si="85"/>
        <v/>
      </c>
      <c r="X546" t="str">
        <f t="shared" si="86"/>
        <v/>
      </c>
      <c r="Y546" t="str">
        <f>IF(C546="","",IF(InventoryTable[[#This Row],[Stock Balance]]&lt;=0,"Sold Out",IF((InventoryTable[[#This Row],[Stock Balance]]/InventoryTable[[#This Row],[Total Pieces]])&lt;=0.25,"Low on Stocks","Available")))</f>
        <v/>
      </c>
    </row>
    <row r="547" spans="1:25" x14ac:dyDescent="0.3">
      <c r="A547" t="str">
        <f>IF(C547="","",_xlfn.CONCAT(LEFT(InventoryTable[[#This Row],[Category]],1),InventoryTable[[#This Row],[Product Pricing Type]],ROW()))</f>
        <v/>
      </c>
      <c r="H547" t="str">
        <f t="shared" si="87"/>
        <v/>
      </c>
      <c r="K547" t="str">
        <f t="shared" si="88"/>
        <v/>
      </c>
      <c r="N547" t="str">
        <f t="shared" si="89"/>
        <v/>
      </c>
      <c r="P547" t="str">
        <f t="shared" si="90"/>
        <v/>
      </c>
      <c r="Q547" s="4" t="str">
        <f t="shared" si="91"/>
        <v/>
      </c>
      <c r="R547" t="str">
        <f t="shared" si="92"/>
        <v/>
      </c>
      <c r="S547" t="str">
        <f t="shared" si="93"/>
        <v/>
      </c>
      <c r="T547" t="str">
        <f>IF(C547="","",InventoryTable[[#This Row],[Profit per Unit]]*InventoryTable[[#This Row],[Total Pieces]])</f>
        <v/>
      </c>
      <c r="U547" t="str">
        <f t="shared" si="84"/>
        <v/>
      </c>
      <c r="V547" t="str">
        <f>IF(C547="","",H547-InventoryTable[[#This Row],[Units Sold]])</f>
        <v/>
      </c>
      <c r="W547" t="str">
        <f t="shared" si="85"/>
        <v/>
      </c>
      <c r="X547" t="str">
        <f t="shared" si="86"/>
        <v/>
      </c>
      <c r="Y547" t="str">
        <f>IF(C547="","",IF(InventoryTable[[#This Row],[Stock Balance]]&lt;=0,"Sold Out",IF((InventoryTable[[#This Row],[Stock Balance]]/InventoryTable[[#This Row],[Total Pieces]])&lt;=0.25,"Low on Stocks","Available")))</f>
        <v/>
      </c>
    </row>
    <row r="548" spans="1:25" x14ac:dyDescent="0.3">
      <c r="A548" t="str">
        <f>IF(C548="","",_xlfn.CONCAT(LEFT(InventoryTable[[#This Row],[Category]],1),InventoryTable[[#This Row],[Product Pricing Type]],ROW()))</f>
        <v/>
      </c>
      <c r="H548" t="str">
        <f t="shared" si="87"/>
        <v/>
      </c>
      <c r="K548" t="str">
        <f t="shared" si="88"/>
        <v/>
      </c>
      <c r="N548" t="str">
        <f t="shared" si="89"/>
        <v/>
      </c>
      <c r="P548" t="str">
        <f t="shared" si="90"/>
        <v/>
      </c>
      <c r="Q548" s="4" t="str">
        <f t="shared" si="91"/>
        <v/>
      </c>
      <c r="R548" t="str">
        <f t="shared" si="92"/>
        <v/>
      </c>
      <c r="S548" t="str">
        <f t="shared" si="93"/>
        <v/>
      </c>
      <c r="T548" t="str">
        <f>IF(C548="","",InventoryTable[[#This Row],[Profit per Unit]]*InventoryTable[[#This Row],[Total Pieces]])</f>
        <v/>
      </c>
      <c r="U548" t="str">
        <f t="shared" si="84"/>
        <v/>
      </c>
      <c r="V548" t="str">
        <f>IF(C548="","",H548-InventoryTable[[#This Row],[Units Sold]])</f>
        <v/>
      </c>
      <c r="W548" t="str">
        <f t="shared" si="85"/>
        <v/>
      </c>
      <c r="X548" t="str">
        <f t="shared" si="86"/>
        <v/>
      </c>
      <c r="Y548" t="str">
        <f>IF(C548="","",IF(InventoryTable[[#This Row],[Stock Balance]]&lt;=0,"Sold Out",IF((InventoryTable[[#This Row],[Stock Balance]]/InventoryTable[[#This Row],[Total Pieces]])&lt;=0.25,"Low on Stocks","Available")))</f>
        <v/>
      </c>
    </row>
    <row r="549" spans="1:25" x14ac:dyDescent="0.3">
      <c r="A549" t="str">
        <f>IF(C549="","",_xlfn.CONCAT(LEFT(InventoryTable[[#This Row],[Category]],1),InventoryTable[[#This Row],[Product Pricing Type]],ROW()))</f>
        <v/>
      </c>
      <c r="H549" t="str">
        <f t="shared" si="87"/>
        <v/>
      </c>
      <c r="K549" t="str">
        <f t="shared" si="88"/>
        <v/>
      </c>
      <c r="N549" t="str">
        <f t="shared" si="89"/>
        <v/>
      </c>
      <c r="P549" t="str">
        <f t="shared" si="90"/>
        <v/>
      </c>
      <c r="Q549" s="4" t="str">
        <f t="shared" si="91"/>
        <v/>
      </c>
      <c r="R549" t="str">
        <f t="shared" si="92"/>
        <v/>
      </c>
      <c r="S549" t="str">
        <f t="shared" si="93"/>
        <v/>
      </c>
      <c r="T549" t="str">
        <f>IF(C549="","",InventoryTable[[#This Row],[Profit per Unit]]*InventoryTable[[#This Row],[Total Pieces]])</f>
        <v/>
      </c>
      <c r="U549" t="str">
        <f t="shared" si="84"/>
        <v/>
      </c>
      <c r="V549" t="str">
        <f>IF(C549="","",H549-InventoryTable[[#This Row],[Units Sold]])</f>
        <v/>
      </c>
      <c r="W549" t="str">
        <f t="shared" si="85"/>
        <v/>
      </c>
      <c r="X549" t="str">
        <f t="shared" si="86"/>
        <v/>
      </c>
      <c r="Y549" t="str">
        <f>IF(C549="","",IF(InventoryTable[[#This Row],[Stock Balance]]&lt;=0,"Sold Out",IF((InventoryTable[[#This Row],[Stock Balance]]/InventoryTable[[#This Row],[Total Pieces]])&lt;=0.25,"Low on Stocks","Available")))</f>
        <v/>
      </c>
    </row>
    <row r="550" spans="1:25" x14ac:dyDescent="0.3">
      <c r="A550" t="str">
        <f>IF(C550="","",_xlfn.CONCAT(LEFT(InventoryTable[[#This Row],[Category]],1),InventoryTable[[#This Row],[Product Pricing Type]],ROW()))</f>
        <v/>
      </c>
      <c r="H550" t="str">
        <f t="shared" si="87"/>
        <v/>
      </c>
      <c r="K550" t="str">
        <f t="shared" si="88"/>
        <v/>
      </c>
      <c r="N550" t="str">
        <f t="shared" si="89"/>
        <v/>
      </c>
      <c r="P550" t="str">
        <f t="shared" si="90"/>
        <v/>
      </c>
      <c r="Q550" s="4" t="str">
        <f t="shared" si="91"/>
        <v/>
      </c>
      <c r="R550" t="str">
        <f t="shared" si="92"/>
        <v/>
      </c>
      <c r="S550" t="str">
        <f t="shared" si="93"/>
        <v/>
      </c>
      <c r="T550" t="str">
        <f>IF(C550="","",InventoryTable[[#This Row],[Profit per Unit]]*InventoryTable[[#This Row],[Total Pieces]])</f>
        <v/>
      </c>
      <c r="U550" t="str">
        <f t="shared" si="84"/>
        <v/>
      </c>
      <c r="V550" t="str">
        <f>IF(C550="","",H550-InventoryTable[[#This Row],[Units Sold]])</f>
        <v/>
      </c>
      <c r="W550" t="str">
        <f t="shared" si="85"/>
        <v/>
      </c>
      <c r="X550" t="str">
        <f t="shared" si="86"/>
        <v/>
      </c>
      <c r="Y550" t="str">
        <f>IF(C550="","",IF(InventoryTable[[#This Row],[Stock Balance]]&lt;=0,"Sold Out",IF((InventoryTable[[#This Row],[Stock Balance]]/InventoryTable[[#This Row],[Total Pieces]])&lt;=0.25,"Low on Stocks","Available")))</f>
        <v/>
      </c>
    </row>
    <row r="551" spans="1:25" x14ac:dyDescent="0.3">
      <c r="A551" t="str">
        <f>IF(C551="","",_xlfn.CONCAT(LEFT(InventoryTable[[#This Row],[Category]],1),InventoryTable[[#This Row],[Product Pricing Type]],ROW()))</f>
        <v/>
      </c>
      <c r="H551" t="str">
        <f t="shared" si="87"/>
        <v/>
      </c>
      <c r="K551" t="str">
        <f t="shared" si="88"/>
        <v/>
      </c>
      <c r="N551" t="str">
        <f t="shared" si="89"/>
        <v/>
      </c>
      <c r="P551" t="str">
        <f t="shared" si="90"/>
        <v/>
      </c>
      <c r="Q551" s="4" t="str">
        <f t="shared" si="91"/>
        <v/>
      </c>
      <c r="R551" t="str">
        <f t="shared" si="92"/>
        <v/>
      </c>
      <c r="S551" t="str">
        <f t="shared" si="93"/>
        <v/>
      </c>
      <c r="T551" t="str">
        <f>IF(C551="","",InventoryTable[[#This Row],[Profit per Unit]]*InventoryTable[[#This Row],[Total Pieces]])</f>
        <v/>
      </c>
      <c r="U551" t="str">
        <f t="shared" si="84"/>
        <v/>
      </c>
      <c r="V551" t="str">
        <f>IF(C551="","",H551-InventoryTable[[#This Row],[Units Sold]])</f>
        <v/>
      </c>
      <c r="W551" t="str">
        <f t="shared" si="85"/>
        <v/>
      </c>
      <c r="X551" t="str">
        <f t="shared" si="86"/>
        <v/>
      </c>
      <c r="Y551" t="str">
        <f>IF(C551="","",IF(InventoryTable[[#This Row],[Stock Balance]]&lt;=0,"Sold Out",IF((InventoryTable[[#This Row],[Stock Balance]]/InventoryTable[[#This Row],[Total Pieces]])&lt;=0.25,"Low on Stocks","Available")))</f>
        <v/>
      </c>
    </row>
    <row r="552" spans="1:25" x14ac:dyDescent="0.3">
      <c r="A552" t="str">
        <f>IF(C552="","",_xlfn.CONCAT(LEFT(InventoryTable[[#This Row],[Category]],1),InventoryTable[[#This Row],[Product Pricing Type]],ROW()))</f>
        <v/>
      </c>
      <c r="H552" t="str">
        <f t="shared" si="87"/>
        <v/>
      </c>
      <c r="K552" t="str">
        <f t="shared" si="88"/>
        <v/>
      </c>
      <c r="N552" t="str">
        <f t="shared" si="89"/>
        <v/>
      </c>
      <c r="P552" t="str">
        <f t="shared" si="90"/>
        <v/>
      </c>
      <c r="Q552" s="4" t="str">
        <f t="shared" si="91"/>
        <v/>
      </c>
      <c r="R552" t="str">
        <f t="shared" si="92"/>
        <v/>
      </c>
      <c r="S552" t="str">
        <f t="shared" si="93"/>
        <v/>
      </c>
      <c r="T552" t="str">
        <f>IF(C552="","",InventoryTable[[#This Row],[Profit per Unit]]*InventoryTable[[#This Row],[Total Pieces]])</f>
        <v/>
      </c>
      <c r="U552" t="str">
        <f t="shared" si="84"/>
        <v/>
      </c>
      <c r="V552" t="str">
        <f>IF(C552="","",H552-InventoryTable[[#This Row],[Units Sold]])</f>
        <v/>
      </c>
      <c r="W552" t="str">
        <f t="shared" si="85"/>
        <v/>
      </c>
      <c r="X552" t="str">
        <f t="shared" si="86"/>
        <v/>
      </c>
      <c r="Y552" t="str">
        <f>IF(C552="","",IF(InventoryTable[[#This Row],[Stock Balance]]&lt;=0,"Sold Out",IF((InventoryTable[[#This Row],[Stock Balance]]/InventoryTable[[#This Row],[Total Pieces]])&lt;=0.25,"Low on Stocks","Available")))</f>
        <v/>
      </c>
    </row>
    <row r="553" spans="1:25" x14ac:dyDescent="0.3">
      <c r="A553" t="str">
        <f>IF(C553="","",_xlfn.CONCAT(LEFT(InventoryTable[[#This Row],[Category]],1),InventoryTable[[#This Row],[Product Pricing Type]],ROW()))</f>
        <v/>
      </c>
      <c r="H553" t="str">
        <f t="shared" si="87"/>
        <v/>
      </c>
      <c r="K553" t="str">
        <f t="shared" si="88"/>
        <v/>
      </c>
      <c r="N553" t="str">
        <f t="shared" si="89"/>
        <v/>
      </c>
      <c r="P553" t="str">
        <f t="shared" si="90"/>
        <v/>
      </c>
      <c r="Q553" s="4" t="str">
        <f t="shared" si="91"/>
        <v/>
      </c>
      <c r="R553" t="str">
        <f t="shared" si="92"/>
        <v/>
      </c>
      <c r="S553" t="str">
        <f t="shared" si="93"/>
        <v/>
      </c>
      <c r="T553" t="str">
        <f>IF(C553="","",InventoryTable[[#This Row],[Profit per Unit]]*InventoryTable[[#This Row],[Total Pieces]])</f>
        <v/>
      </c>
      <c r="U553" t="str">
        <f t="shared" si="84"/>
        <v/>
      </c>
      <c r="V553" t="str">
        <f>IF(C553="","",H553-InventoryTable[[#This Row],[Units Sold]])</f>
        <v/>
      </c>
      <c r="W553" t="str">
        <f t="shared" si="85"/>
        <v/>
      </c>
      <c r="X553" t="str">
        <f t="shared" si="86"/>
        <v/>
      </c>
      <c r="Y553" t="str">
        <f>IF(C553="","",IF(InventoryTable[[#This Row],[Stock Balance]]&lt;=0,"Sold Out",IF((InventoryTable[[#This Row],[Stock Balance]]/InventoryTable[[#This Row],[Total Pieces]])&lt;=0.25,"Low on Stocks","Available")))</f>
        <v/>
      </c>
    </row>
    <row r="554" spans="1:25" x14ac:dyDescent="0.3">
      <c r="A554" t="str">
        <f>IF(C554="","",_xlfn.CONCAT(LEFT(InventoryTable[[#This Row],[Category]],1),InventoryTable[[#This Row],[Product Pricing Type]],ROW()))</f>
        <v/>
      </c>
      <c r="H554" t="str">
        <f t="shared" si="87"/>
        <v/>
      </c>
      <c r="K554" t="str">
        <f t="shared" si="88"/>
        <v/>
      </c>
      <c r="N554" t="str">
        <f t="shared" si="89"/>
        <v/>
      </c>
      <c r="P554" t="str">
        <f t="shared" si="90"/>
        <v/>
      </c>
      <c r="Q554" s="4" t="str">
        <f t="shared" si="91"/>
        <v/>
      </c>
      <c r="R554" t="str">
        <f t="shared" si="92"/>
        <v/>
      </c>
      <c r="S554" t="str">
        <f t="shared" si="93"/>
        <v/>
      </c>
      <c r="T554" t="str">
        <f>IF(C554="","",InventoryTable[[#This Row],[Profit per Unit]]*InventoryTable[[#This Row],[Total Pieces]])</f>
        <v/>
      </c>
      <c r="U554" t="str">
        <f t="shared" si="84"/>
        <v/>
      </c>
      <c r="V554" t="str">
        <f>IF(C554="","",H554-InventoryTable[[#This Row],[Units Sold]])</f>
        <v/>
      </c>
      <c r="W554" t="str">
        <f t="shared" si="85"/>
        <v/>
      </c>
      <c r="X554" t="str">
        <f t="shared" si="86"/>
        <v/>
      </c>
      <c r="Y554" t="str">
        <f>IF(C554="","",IF(InventoryTable[[#This Row],[Stock Balance]]&lt;=0,"Sold Out",IF((InventoryTable[[#This Row],[Stock Balance]]/InventoryTable[[#This Row],[Total Pieces]])&lt;=0.25,"Low on Stocks","Available")))</f>
        <v/>
      </c>
    </row>
    <row r="555" spans="1:25" x14ac:dyDescent="0.3">
      <c r="A555" t="str">
        <f>IF(C555="","",_xlfn.CONCAT(LEFT(InventoryTable[[#This Row],[Category]],1),InventoryTable[[#This Row],[Product Pricing Type]],ROW()))</f>
        <v/>
      </c>
      <c r="H555" t="str">
        <f t="shared" si="87"/>
        <v/>
      </c>
      <c r="K555" t="str">
        <f t="shared" si="88"/>
        <v/>
      </c>
      <c r="N555" t="str">
        <f t="shared" si="89"/>
        <v/>
      </c>
      <c r="P555" t="str">
        <f t="shared" si="90"/>
        <v/>
      </c>
      <c r="Q555" s="4" t="str">
        <f t="shared" si="91"/>
        <v/>
      </c>
      <c r="R555" t="str">
        <f t="shared" si="92"/>
        <v/>
      </c>
      <c r="S555" t="str">
        <f t="shared" si="93"/>
        <v/>
      </c>
      <c r="T555" t="str">
        <f>IF(C555="","",InventoryTable[[#This Row],[Profit per Unit]]*InventoryTable[[#This Row],[Total Pieces]])</f>
        <v/>
      </c>
      <c r="U555" t="str">
        <f t="shared" si="84"/>
        <v/>
      </c>
      <c r="V555" t="str">
        <f>IF(C555="","",H555-InventoryTable[[#This Row],[Units Sold]])</f>
        <v/>
      </c>
      <c r="W555" t="str">
        <f t="shared" si="85"/>
        <v/>
      </c>
      <c r="X555" t="str">
        <f t="shared" si="86"/>
        <v/>
      </c>
      <c r="Y555" t="str">
        <f>IF(C555="","",IF(InventoryTable[[#This Row],[Stock Balance]]&lt;=0,"Sold Out",IF((InventoryTable[[#This Row],[Stock Balance]]/InventoryTable[[#This Row],[Total Pieces]])&lt;=0.25,"Low on Stocks","Available")))</f>
        <v/>
      </c>
    </row>
    <row r="556" spans="1:25" x14ac:dyDescent="0.3">
      <c r="A556" t="str">
        <f>IF(C556="","",_xlfn.CONCAT(LEFT(InventoryTable[[#This Row],[Category]],1),InventoryTable[[#This Row],[Product Pricing Type]],ROW()))</f>
        <v/>
      </c>
      <c r="H556" t="str">
        <f t="shared" si="87"/>
        <v/>
      </c>
      <c r="K556" t="str">
        <f t="shared" si="88"/>
        <v/>
      </c>
      <c r="N556" t="str">
        <f t="shared" si="89"/>
        <v/>
      </c>
      <c r="P556" t="str">
        <f t="shared" si="90"/>
        <v/>
      </c>
      <c r="Q556" s="4" t="str">
        <f t="shared" si="91"/>
        <v/>
      </c>
      <c r="R556" t="str">
        <f t="shared" si="92"/>
        <v/>
      </c>
      <c r="S556" t="str">
        <f t="shared" si="93"/>
        <v/>
      </c>
      <c r="T556" t="str">
        <f>IF(C556="","",InventoryTable[[#This Row],[Profit per Unit]]*InventoryTable[[#This Row],[Total Pieces]])</f>
        <v/>
      </c>
      <c r="U556" t="str">
        <f t="shared" si="84"/>
        <v/>
      </c>
      <c r="V556" t="str">
        <f>IF(C556="","",H556-InventoryTable[[#This Row],[Units Sold]])</f>
        <v/>
      </c>
      <c r="W556" t="str">
        <f t="shared" si="85"/>
        <v/>
      </c>
      <c r="X556" t="str">
        <f t="shared" si="86"/>
        <v/>
      </c>
      <c r="Y556" t="str">
        <f>IF(C556="","",IF(InventoryTable[[#This Row],[Stock Balance]]&lt;=0,"Sold Out",IF((InventoryTable[[#This Row],[Stock Balance]]/InventoryTable[[#This Row],[Total Pieces]])&lt;=0.25,"Low on Stocks","Available")))</f>
        <v/>
      </c>
    </row>
    <row r="557" spans="1:25" x14ac:dyDescent="0.3">
      <c r="A557" t="str">
        <f>IF(C557="","",_xlfn.CONCAT(LEFT(InventoryTable[[#This Row],[Category]],1),InventoryTable[[#This Row],[Product Pricing Type]],ROW()))</f>
        <v/>
      </c>
      <c r="H557" t="str">
        <f t="shared" si="87"/>
        <v/>
      </c>
      <c r="K557" t="str">
        <f t="shared" si="88"/>
        <v/>
      </c>
      <c r="N557" t="str">
        <f t="shared" si="89"/>
        <v/>
      </c>
      <c r="P557" t="str">
        <f t="shared" si="90"/>
        <v/>
      </c>
      <c r="Q557" s="4" t="str">
        <f t="shared" si="91"/>
        <v/>
      </c>
      <c r="R557" t="str">
        <f t="shared" si="92"/>
        <v/>
      </c>
      <c r="S557" t="str">
        <f t="shared" si="93"/>
        <v/>
      </c>
      <c r="T557" t="str">
        <f>IF(C557="","",InventoryTable[[#This Row],[Profit per Unit]]*InventoryTable[[#This Row],[Total Pieces]])</f>
        <v/>
      </c>
      <c r="U557" t="str">
        <f t="shared" si="84"/>
        <v/>
      </c>
      <c r="V557" t="str">
        <f>IF(C557="","",H557-InventoryTable[[#This Row],[Units Sold]])</f>
        <v/>
      </c>
      <c r="W557" t="str">
        <f t="shared" si="85"/>
        <v/>
      </c>
      <c r="X557" t="str">
        <f t="shared" si="86"/>
        <v/>
      </c>
      <c r="Y557" t="str">
        <f>IF(C557="","",IF(InventoryTable[[#This Row],[Stock Balance]]&lt;=0,"Sold Out",IF((InventoryTable[[#This Row],[Stock Balance]]/InventoryTable[[#This Row],[Total Pieces]])&lt;=0.25,"Low on Stocks","Available")))</f>
        <v/>
      </c>
    </row>
    <row r="558" spans="1:25" x14ac:dyDescent="0.3">
      <c r="A558" t="str">
        <f>IF(C558="","",_xlfn.CONCAT(LEFT(InventoryTable[[#This Row],[Category]],1),InventoryTable[[#This Row],[Product Pricing Type]],ROW()))</f>
        <v/>
      </c>
      <c r="H558" t="str">
        <f t="shared" si="87"/>
        <v/>
      </c>
      <c r="K558" t="str">
        <f t="shared" si="88"/>
        <v/>
      </c>
      <c r="N558" t="str">
        <f t="shared" si="89"/>
        <v/>
      </c>
      <c r="P558" t="str">
        <f t="shared" si="90"/>
        <v/>
      </c>
      <c r="Q558" s="4" t="str">
        <f t="shared" si="91"/>
        <v/>
      </c>
      <c r="R558" t="str">
        <f t="shared" si="92"/>
        <v/>
      </c>
      <c r="S558" t="str">
        <f t="shared" si="93"/>
        <v/>
      </c>
      <c r="T558" t="str">
        <f>IF(C558="","",InventoryTable[[#This Row],[Profit per Unit]]*InventoryTable[[#This Row],[Total Pieces]])</f>
        <v/>
      </c>
      <c r="U558" t="str">
        <f t="shared" si="84"/>
        <v/>
      </c>
      <c r="V558" t="str">
        <f>IF(C558="","",H558-InventoryTable[[#This Row],[Units Sold]])</f>
        <v/>
      </c>
      <c r="W558" t="str">
        <f t="shared" si="85"/>
        <v/>
      </c>
      <c r="X558" t="str">
        <f t="shared" si="86"/>
        <v/>
      </c>
      <c r="Y558" t="str">
        <f>IF(C558="","",IF(InventoryTable[[#This Row],[Stock Balance]]&lt;=0,"Sold Out",IF((InventoryTable[[#This Row],[Stock Balance]]/InventoryTable[[#This Row],[Total Pieces]])&lt;=0.25,"Low on Stocks","Available")))</f>
        <v/>
      </c>
    </row>
    <row r="559" spans="1:25" x14ac:dyDescent="0.3">
      <c r="A559" t="str">
        <f>IF(C559="","",_xlfn.CONCAT(LEFT(InventoryTable[[#This Row],[Category]],1),InventoryTable[[#This Row],[Product Pricing Type]],ROW()))</f>
        <v/>
      </c>
      <c r="H559" t="str">
        <f t="shared" si="87"/>
        <v/>
      </c>
      <c r="K559" t="str">
        <f t="shared" si="88"/>
        <v/>
      </c>
      <c r="N559" t="str">
        <f t="shared" si="89"/>
        <v/>
      </c>
      <c r="P559" t="str">
        <f t="shared" si="90"/>
        <v/>
      </c>
      <c r="Q559" s="4" t="str">
        <f t="shared" si="91"/>
        <v/>
      </c>
      <c r="R559" t="str">
        <f t="shared" si="92"/>
        <v/>
      </c>
      <c r="S559" t="str">
        <f t="shared" si="93"/>
        <v/>
      </c>
      <c r="T559" t="str">
        <f>IF(C559="","",InventoryTable[[#This Row],[Profit per Unit]]*InventoryTable[[#This Row],[Total Pieces]])</f>
        <v/>
      </c>
      <c r="U559" t="str">
        <f t="shared" si="84"/>
        <v/>
      </c>
      <c r="V559" t="str">
        <f>IF(C559="","",H559-InventoryTable[[#This Row],[Units Sold]])</f>
        <v/>
      </c>
      <c r="W559" t="str">
        <f t="shared" si="85"/>
        <v/>
      </c>
      <c r="X559" t="str">
        <f t="shared" si="86"/>
        <v/>
      </c>
      <c r="Y559" t="str">
        <f>IF(C559="","",IF(InventoryTable[[#This Row],[Stock Balance]]&lt;=0,"Sold Out",IF((InventoryTable[[#This Row],[Stock Balance]]/InventoryTable[[#This Row],[Total Pieces]])&lt;=0.25,"Low on Stocks","Available")))</f>
        <v/>
      </c>
    </row>
    <row r="560" spans="1:25" x14ac:dyDescent="0.3">
      <c r="A560" t="str">
        <f>IF(C560="","",_xlfn.CONCAT(LEFT(InventoryTable[[#This Row],[Category]],1),InventoryTable[[#This Row],[Product Pricing Type]],ROW()))</f>
        <v/>
      </c>
      <c r="H560" t="str">
        <f t="shared" si="87"/>
        <v/>
      </c>
      <c r="K560" t="str">
        <f t="shared" si="88"/>
        <v/>
      </c>
      <c r="N560" t="str">
        <f t="shared" si="89"/>
        <v/>
      </c>
      <c r="P560" t="str">
        <f t="shared" si="90"/>
        <v/>
      </c>
      <c r="Q560" s="4" t="str">
        <f t="shared" si="91"/>
        <v/>
      </c>
      <c r="R560" t="str">
        <f t="shared" si="92"/>
        <v/>
      </c>
      <c r="S560" t="str">
        <f t="shared" si="93"/>
        <v/>
      </c>
      <c r="T560" t="str">
        <f>IF(C560="","",InventoryTable[[#This Row],[Profit per Unit]]*InventoryTable[[#This Row],[Total Pieces]])</f>
        <v/>
      </c>
      <c r="U560" t="str">
        <f t="shared" si="84"/>
        <v/>
      </c>
      <c r="V560" t="str">
        <f>IF(C560="","",H560-InventoryTable[[#This Row],[Units Sold]])</f>
        <v/>
      </c>
      <c r="W560" t="str">
        <f t="shared" si="85"/>
        <v/>
      </c>
      <c r="X560" t="str">
        <f t="shared" si="86"/>
        <v/>
      </c>
      <c r="Y560" t="str">
        <f>IF(C560="","",IF(InventoryTable[[#This Row],[Stock Balance]]&lt;=0,"Sold Out",IF((InventoryTable[[#This Row],[Stock Balance]]/InventoryTable[[#This Row],[Total Pieces]])&lt;=0.25,"Low on Stocks","Available")))</f>
        <v/>
      </c>
    </row>
    <row r="561" spans="1:25" x14ac:dyDescent="0.3">
      <c r="A561" t="str">
        <f>IF(C561="","",_xlfn.CONCAT(LEFT(InventoryTable[[#This Row],[Category]],1),InventoryTable[[#This Row],[Product Pricing Type]],ROW()))</f>
        <v/>
      </c>
      <c r="H561" t="str">
        <f t="shared" si="87"/>
        <v/>
      </c>
      <c r="K561" t="str">
        <f t="shared" si="88"/>
        <v/>
      </c>
      <c r="N561" t="str">
        <f t="shared" si="89"/>
        <v/>
      </c>
      <c r="P561" t="str">
        <f t="shared" si="90"/>
        <v/>
      </c>
      <c r="Q561" s="4" t="str">
        <f t="shared" si="91"/>
        <v/>
      </c>
      <c r="R561" t="str">
        <f t="shared" si="92"/>
        <v/>
      </c>
      <c r="S561" t="str">
        <f t="shared" si="93"/>
        <v/>
      </c>
      <c r="T561" t="str">
        <f>IF(C561="","",InventoryTable[[#This Row],[Profit per Unit]]*InventoryTable[[#This Row],[Total Pieces]])</f>
        <v/>
      </c>
      <c r="U561" t="str">
        <f t="shared" si="84"/>
        <v/>
      </c>
      <c r="V561" t="str">
        <f>IF(C561="","",H561-InventoryTable[[#This Row],[Units Sold]])</f>
        <v/>
      </c>
      <c r="W561" t="str">
        <f t="shared" si="85"/>
        <v/>
      </c>
      <c r="X561" t="str">
        <f t="shared" si="86"/>
        <v/>
      </c>
      <c r="Y561" t="str">
        <f>IF(C561="","",IF(InventoryTable[[#This Row],[Stock Balance]]&lt;=0,"Sold Out",IF((InventoryTable[[#This Row],[Stock Balance]]/InventoryTable[[#This Row],[Total Pieces]])&lt;=0.25,"Low on Stocks","Available")))</f>
        <v/>
      </c>
    </row>
    <row r="562" spans="1:25" x14ac:dyDescent="0.3">
      <c r="A562" t="str">
        <f>IF(C562="","",_xlfn.CONCAT(LEFT(InventoryTable[[#This Row],[Category]],1),InventoryTable[[#This Row],[Product Pricing Type]],ROW()))</f>
        <v/>
      </c>
      <c r="H562" t="str">
        <f t="shared" si="87"/>
        <v/>
      </c>
      <c r="K562" t="str">
        <f t="shared" si="88"/>
        <v/>
      </c>
      <c r="N562" t="str">
        <f t="shared" si="89"/>
        <v/>
      </c>
      <c r="P562" t="str">
        <f t="shared" si="90"/>
        <v/>
      </c>
      <c r="Q562" s="4" t="str">
        <f t="shared" si="91"/>
        <v/>
      </c>
      <c r="R562" t="str">
        <f t="shared" si="92"/>
        <v/>
      </c>
      <c r="S562" t="str">
        <f t="shared" si="93"/>
        <v/>
      </c>
      <c r="T562" t="str">
        <f>IF(C562="","",InventoryTable[[#This Row],[Profit per Unit]]*InventoryTable[[#This Row],[Total Pieces]])</f>
        <v/>
      </c>
      <c r="U562" t="str">
        <f t="shared" si="84"/>
        <v/>
      </c>
      <c r="V562" t="str">
        <f>IF(C562="","",H562-InventoryTable[[#This Row],[Units Sold]])</f>
        <v/>
      </c>
      <c r="W562" t="str">
        <f t="shared" si="85"/>
        <v/>
      </c>
      <c r="X562" t="str">
        <f t="shared" si="86"/>
        <v/>
      </c>
      <c r="Y562" t="str">
        <f>IF(C562="","",IF(InventoryTable[[#This Row],[Stock Balance]]&lt;=0,"Sold Out",IF((InventoryTable[[#This Row],[Stock Balance]]/InventoryTable[[#This Row],[Total Pieces]])&lt;=0.25,"Low on Stocks","Available")))</f>
        <v/>
      </c>
    </row>
    <row r="563" spans="1:25" x14ac:dyDescent="0.3">
      <c r="A563" t="str">
        <f>IF(C563="","",_xlfn.CONCAT(LEFT(InventoryTable[[#This Row],[Category]],1),InventoryTable[[#This Row],[Product Pricing Type]],ROW()))</f>
        <v/>
      </c>
      <c r="H563" t="str">
        <f t="shared" si="87"/>
        <v/>
      </c>
      <c r="K563" t="str">
        <f t="shared" si="88"/>
        <v/>
      </c>
      <c r="N563" t="str">
        <f t="shared" si="89"/>
        <v/>
      </c>
      <c r="P563" t="str">
        <f t="shared" si="90"/>
        <v/>
      </c>
      <c r="Q563" s="4" t="str">
        <f t="shared" si="91"/>
        <v/>
      </c>
      <c r="R563" t="str">
        <f t="shared" si="92"/>
        <v/>
      </c>
      <c r="S563" t="str">
        <f t="shared" si="93"/>
        <v/>
      </c>
      <c r="T563" t="str">
        <f>IF(C563="","",InventoryTable[[#This Row],[Profit per Unit]]*InventoryTable[[#This Row],[Total Pieces]])</f>
        <v/>
      </c>
      <c r="U563" t="str">
        <f t="shared" si="84"/>
        <v/>
      </c>
      <c r="V563" t="str">
        <f>IF(C563="","",H563-InventoryTable[[#This Row],[Units Sold]])</f>
        <v/>
      </c>
      <c r="W563" t="str">
        <f t="shared" si="85"/>
        <v/>
      </c>
      <c r="X563" t="str">
        <f t="shared" si="86"/>
        <v/>
      </c>
      <c r="Y563" t="str">
        <f>IF(C563="","",IF(InventoryTable[[#This Row],[Stock Balance]]&lt;=0,"Sold Out",IF((InventoryTable[[#This Row],[Stock Balance]]/InventoryTable[[#This Row],[Total Pieces]])&lt;=0.25,"Low on Stocks","Available")))</f>
        <v/>
      </c>
    </row>
    <row r="564" spans="1:25" x14ac:dyDescent="0.3">
      <c r="A564" t="str">
        <f>IF(C564="","",_xlfn.CONCAT(LEFT(InventoryTable[[#This Row],[Category]],1),InventoryTable[[#This Row],[Product Pricing Type]],ROW()))</f>
        <v/>
      </c>
      <c r="H564" t="str">
        <f t="shared" si="87"/>
        <v/>
      </c>
      <c r="K564" t="str">
        <f t="shared" si="88"/>
        <v/>
      </c>
      <c r="N564" t="str">
        <f t="shared" si="89"/>
        <v/>
      </c>
      <c r="P564" t="str">
        <f t="shared" si="90"/>
        <v/>
      </c>
      <c r="Q564" s="4" t="str">
        <f t="shared" si="91"/>
        <v/>
      </c>
      <c r="R564" t="str">
        <f t="shared" si="92"/>
        <v/>
      </c>
      <c r="S564" t="str">
        <f t="shared" si="93"/>
        <v/>
      </c>
      <c r="T564" t="str">
        <f>IF(C564="","",InventoryTable[[#This Row],[Profit per Unit]]*InventoryTable[[#This Row],[Total Pieces]])</f>
        <v/>
      </c>
      <c r="U564" t="str">
        <f t="shared" si="84"/>
        <v/>
      </c>
      <c r="V564" t="str">
        <f>IF(C564="","",H564-InventoryTable[[#This Row],[Units Sold]])</f>
        <v/>
      </c>
      <c r="W564" t="str">
        <f t="shared" si="85"/>
        <v/>
      </c>
      <c r="X564" t="str">
        <f t="shared" si="86"/>
        <v/>
      </c>
      <c r="Y564" t="str">
        <f>IF(C564="","",IF(InventoryTable[[#This Row],[Stock Balance]]&lt;=0,"Sold Out",IF((InventoryTable[[#This Row],[Stock Balance]]/InventoryTable[[#This Row],[Total Pieces]])&lt;=0.25,"Low on Stocks","Available")))</f>
        <v/>
      </c>
    </row>
    <row r="565" spans="1:25" x14ac:dyDescent="0.3">
      <c r="A565" t="str">
        <f>IF(C565="","",_xlfn.CONCAT(LEFT(InventoryTable[[#This Row],[Category]],1),InventoryTable[[#This Row],[Product Pricing Type]],ROW()))</f>
        <v/>
      </c>
      <c r="H565" t="str">
        <f t="shared" si="87"/>
        <v/>
      </c>
      <c r="K565" t="str">
        <f t="shared" si="88"/>
        <v/>
      </c>
      <c r="N565" t="str">
        <f t="shared" si="89"/>
        <v/>
      </c>
      <c r="P565" t="str">
        <f t="shared" si="90"/>
        <v/>
      </c>
      <c r="Q565" s="4" t="str">
        <f t="shared" si="91"/>
        <v/>
      </c>
      <c r="R565" t="str">
        <f t="shared" si="92"/>
        <v/>
      </c>
      <c r="S565" t="str">
        <f t="shared" si="93"/>
        <v/>
      </c>
      <c r="T565" t="str">
        <f>IF(C565="","",InventoryTable[[#This Row],[Profit per Unit]]*InventoryTable[[#This Row],[Total Pieces]])</f>
        <v/>
      </c>
      <c r="U565" t="str">
        <f t="shared" si="84"/>
        <v/>
      </c>
      <c r="V565" t="str">
        <f>IF(C565="","",H565-InventoryTable[[#This Row],[Units Sold]])</f>
        <v/>
      </c>
      <c r="W565" t="str">
        <f t="shared" si="85"/>
        <v/>
      </c>
      <c r="X565" t="str">
        <f t="shared" si="86"/>
        <v/>
      </c>
      <c r="Y565" t="str">
        <f>IF(C565="","",IF(InventoryTable[[#This Row],[Stock Balance]]&lt;=0,"Sold Out",IF((InventoryTable[[#This Row],[Stock Balance]]/InventoryTable[[#This Row],[Total Pieces]])&lt;=0.25,"Low on Stocks","Available")))</f>
        <v/>
      </c>
    </row>
    <row r="566" spans="1:25" x14ac:dyDescent="0.3">
      <c r="A566" t="str">
        <f>IF(C566="","",_xlfn.CONCAT(LEFT(InventoryTable[[#This Row],[Category]],1),InventoryTable[[#This Row],[Product Pricing Type]],ROW()))</f>
        <v/>
      </c>
      <c r="H566" t="str">
        <f t="shared" si="87"/>
        <v/>
      </c>
      <c r="K566" t="str">
        <f t="shared" si="88"/>
        <v/>
      </c>
      <c r="N566" t="str">
        <f t="shared" si="89"/>
        <v/>
      </c>
      <c r="P566" t="str">
        <f t="shared" si="90"/>
        <v/>
      </c>
      <c r="Q566" s="4" t="str">
        <f t="shared" si="91"/>
        <v/>
      </c>
      <c r="R566" t="str">
        <f t="shared" si="92"/>
        <v/>
      </c>
      <c r="S566" t="str">
        <f t="shared" si="93"/>
        <v/>
      </c>
      <c r="T566" t="str">
        <f>IF(C566="","",InventoryTable[[#This Row],[Profit per Unit]]*InventoryTable[[#This Row],[Total Pieces]])</f>
        <v/>
      </c>
      <c r="U566" t="str">
        <f t="shared" si="84"/>
        <v/>
      </c>
      <c r="V566" t="str">
        <f>IF(C566="","",H566-InventoryTable[[#This Row],[Units Sold]])</f>
        <v/>
      </c>
      <c r="W566" t="str">
        <f t="shared" si="85"/>
        <v/>
      </c>
      <c r="X566" t="str">
        <f t="shared" si="86"/>
        <v/>
      </c>
      <c r="Y566" t="str">
        <f>IF(C566="","",IF(InventoryTable[[#This Row],[Stock Balance]]&lt;=0,"Sold Out",IF((InventoryTable[[#This Row],[Stock Balance]]/InventoryTable[[#This Row],[Total Pieces]])&lt;=0.25,"Low on Stocks","Available")))</f>
        <v/>
      </c>
    </row>
    <row r="567" spans="1:25" x14ac:dyDescent="0.3">
      <c r="A567" t="str">
        <f>IF(C567="","",_xlfn.CONCAT(LEFT(InventoryTable[[#This Row],[Category]],1),InventoryTable[[#This Row],[Product Pricing Type]],ROW()))</f>
        <v/>
      </c>
      <c r="H567" t="str">
        <f t="shared" si="87"/>
        <v/>
      </c>
      <c r="K567" t="str">
        <f t="shared" si="88"/>
        <v/>
      </c>
      <c r="N567" t="str">
        <f t="shared" si="89"/>
        <v/>
      </c>
      <c r="P567" t="str">
        <f t="shared" si="90"/>
        <v/>
      </c>
      <c r="Q567" s="4" t="str">
        <f t="shared" si="91"/>
        <v/>
      </c>
      <c r="R567" t="str">
        <f t="shared" si="92"/>
        <v/>
      </c>
      <c r="S567" t="str">
        <f t="shared" si="93"/>
        <v/>
      </c>
      <c r="T567" t="str">
        <f>IF(C567="","",InventoryTable[[#This Row],[Profit per Unit]]*InventoryTable[[#This Row],[Total Pieces]])</f>
        <v/>
      </c>
      <c r="U567" t="str">
        <f t="shared" si="84"/>
        <v/>
      </c>
      <c r="V567" t="str">
        <f>IF(C567="","",H567-InventoryTable[[#This Row],[Units Sold]])</f>
        <v/>
      </c>
      <c r="W567" t="str">
        <f t="shared" si="85"/>
        <v/>
      </c>
      <c r="X567" t="str">
        <f t="shared" si="86"/>
        <v/>
      </c>
      <c r="Y567" t="str">
        <f>IF(C567="","",IF(InventoryTable[[#This Row],[Stock Balance]]&lt;=0,"Sold Out",IF((InventoryTable[[#This Row],[Stock Balance]]/InventoryTable[[#This Row],[Total Pieces]])&lt;=0.25,"Low on Stocks","Available")))</f>
        <v/>
      </c>
    </row>
    <row r="568" spans="1:25" x14ac:dyDescent="0.3">
      <c r="A568" t="str">
        <f>IF(C568="","",_xlfn.CONCAT(LEFT(InventoryTable[[#This Row],[Category]],1),InventoryTable[[#This Row],[Product Pricing Type]],ROW()))</f>
        <v/>
      </c>
      <c r="H568" t="str">
        <f t="shared" si="87"/>
        <v/>
      </c>
      <c r="K568" t="str">
        <f t="shared" si="88"/>
        <v/>
      </c>
      <c r="N568" t="str">
        <f t="shared" si="89"/>
        <v/>
      </c>
      <c r="P568" t="str">
        <f t="shared" si="90"/>
        <v/>
      </c>
      <c r="Q568" s="4" t="str">
        <f t="shared" si="91"/>
        <v/>
      </c>
      <c r="R568" t="str">
        <f t="shared" si="92"/>
        <v/>
      </c>
      <c r="S568" t="str">
        <f t="shared" si="93"/>
        <v/>
      </c>
      <c r="T568" t="str">
        <f>IF(C568="","",InventoryTable[[#This Row],[Profit per Unit]]*InventoryTable[[#This Row],[Total Pieces]])</f>
        <v/>
      </c>
      <c r="U568" t="str">
        <f t="shared" si="84"/>
        <v/>
      </c>
      <c r="V568" t="str">
        <f>IF(C568="","",H568-InventoryTable[[#This Row],[Units Sold]])</f>
        <v/>
      </c>
      <c r="W568" t="str">
        <f t="shared" si="85"/>
        <v/>
      </c>
      <c r="X568" t="str">
        <f t="shared" si="86"/>
        <v/>
      </c>
      <c r="Y568" t="str">
        <f>IF(C568="","",IF(InventoryTable[[#This Row],[Stock Balance]]&lt;=0,"Sold Out",IF((InventoryTable[[#This Row],[Stock Balance]]/InventoryTable[[#This Row],[Total Pieces]])&lt;=0.25,"Low on Stocks","Available")))</f>
        <v/>
      </c>
    </row>
    <row r="569" spans="1:25" x14ac:dyDescent="0.3">
      <c r="A569" t="str">
        <f>IF(C569="","",_xlfn.CONCAT(LEFT(InventoryTable[[#This Row],[Category]],1),InventoryTable[[#This Row],[Product Pricing Type]],ROW()))</f>
        <v/>
      </c>
      <c r="H569" t="str">
        <f t="shared" si="87"/>
        <v/>
      </c>
      <c r="K569" t="str">
        <f t="shared" si="88"/>
        <v/>
      </c>
      <c r="N569" t="str">
        <f t="shared" si="89"/>
        <v/>
      </c>
      <c r="P569" t="str">
        <f t="shared" si="90"/>
        <v/>
      </c>
      <c r="Q569" s="4" t="str">
        <f t="shared" si="91"/>
        <v/>
      </c>
      <c r="R569" t="str">
        <f t="shared" si="92"/>
        <v/>
      </c>
      <c r="S569" t="str">
        <f t="shared" si="93"/>
        <v/>
      </c>
      <c r="T569" t="str">
        <f>IF(C569="","",InventoryTable[[#This Row],[Profit per Unit]]*InventoryTable[[#This Row],[Total Pieces]])</f>
        <v/>
      </c>
      <c r="U569" t="str">
        <f t="shared" si="84"/>
        <v/>
      </c>
      <c r="V569" t="str">
        <f>IF(C569="","",H569-InventoryTable[[#This Row],[Units Sold]])</f>
        <v/>
      </c>
      <c r="W569" t="str">
        <f t="shared" si="85"/>
        <v/>
      </c>
      <c r="X569" t="str">
        <f t="shared" si="86"/>
        <v/>
      </c>
      <c r="Y569" t="str">
        <f>IF(C569="","",IF(InventoryTable[[#This Row],[Stock Balance]]&lt;=0,"Sold Out",IF((InventoryTable[[#This Row],[Stock Balance]]/InventoryTable[[#This Row],[Total Pieces]])&lt;=0.25,"Low on Stocks","Available")))</f>
        <v/>
      </c>
    </row>
    <row r="570" spans="1:25" x14ac:dyDescent="0.3">
      <c r="A570" t="str">
        <f>IF(C570="","",_xlfn.CONCAT(LEFT(InventoryTable[[#This Row],[Category]],1),InventoryTable[[#This Row],[Product Pricing Type]],ROW()))</f>
        <v/>
      </c>
      <c r="H570" t="str">
        <f t="shared" si="87"/>
        <v/>
      </c>
      <c r="K570" t="str">
        <f t="shared" si="88"/>
        <v/>
      </c>
      <c r="N570" t="str">
        <f t="shared" si="89"/>
        <v/>
      </c>
      <c r="P570" t="str">
        <f t="shared" si="90"/>
        <v/>
      </c>
      <c r="Q570" s="4" t="str">
        <f t="shared" si="91"/>
        <v/>
      </c>
      <c r="R570" t="str">
        <f t="shared" si="92"/>
        <v/>
      </c>
      <c r="S570" t="str">
        <f t="shared" si="93"/>
        <v/>
      </c>
      <c r="T570" t="str">
        <f>IF(C570="","",InventoryTable[[#This Row],[Profit per Unit]]*InventoryTable[[#This Row],[Total Pieces]])</f>
        <v/>
      </c>
      <c r="U570" t="str">
        <f t="shared" si="84"/>
        <v/>
      </c>
      <c r="V570" t="str">
        <f>IF(C570="","",H570-InventoryTable[[#This Row],[Units Sold]])</f>
        <v/>
      </c>
      <c r="W570" t="str">
        <f t="shared" si="85"/>
        <v/>
      </c>
      <c r="X570" t="str">
        <f t="shared" si="86"/>
        <v/>
      </c>
      <c r="Y570" t="str">
        <f>IF(C570="","",IF(InventoryTable[[#This Row],[Stock Balance]]&lt;=0,"Sold Out",IF((InventoryTable[[#This Row],[Stock Balance]]/InventoryTable[[#This Row],[Total Pieces]])&lt;=0.25,"Low on Stocks","Available")))</f>
        <v/>
      </c>
    </row>
    <row r="571" spans="1:25" x14ac:dyDescent="0.3">
      <c r="A571" t="str">
        <f>IF(C571="","",_xlfn.CONCAT(LEFT(InventoryTable[[#This Row],[Category]],1),InventoryTable[[#This Row],[Product Pricing Type]],ROW()))</f>
        <v/>
      </c>
      <c r="H571" t="str">
        <f t="shared" si="87"/>
        <v/>
      </c>
      <c r="K571" t="str">
        <f t="shared" si="88"/>
        <v/>
      </c>
      <c r="N571" t="str">
        <f t="shared" si="89"/>
        <v/>
      </c>
      <c r="P571" t="str">
        <f t="shared" si="90"/>
        <v/>
      </c>
      <c r="Q571" s="4" t="str">
        <f t="shared" si="91"/>
        <v/>
      </c>
      <c r="R571" t="str">
        <f t="shared" si="92"/>
        <v/>
      </c>
      <c r="S571" t="str">
        <f t="shared" si="93"/>
        <v/>
      </c>
      <c r="T571" t="str">
        <f>IF(C571="","",InventoryTable[[#This Row],[Profit per Unit]]*InventoryTable[[#This Row],[Total Pieces]])</f>
        <v/>
      </c>
      <c r="U571" t="str">
        <f t="shared" si="84"/>
        <v/>
      </c>
      <c r="V571" t="str">
        <f>IF(C571="","",H571-InventoryTable[[#This Row],[Units Sold]])</f>
        <v/>
      </c>
      <c r="W571" t="str">
        <f t="shared" si="85"/>
        <v/>
      </c>
      <c r="X571" t="str">
        <f t="shared" si="86"/>
        <v/>
      </c>
      <c r="Y571" t="str">
        <f>IF(C571="","",IF(InventoryTable[[#This Row],[Stock Balance]]&lt;=0,"Sold Out",IF((InventoryTable[[#This Row],[Stock Balance]]/InventoryTable[[#This Row],[Total Pieces]])&lt;=0.25,"Low on Stocks","Available")))</f>
        <v/>
      </c>
    </row>
    <row r="572" spans="1:25" x14ac:dyDescent="0.3">
      <c r="A572" t="str">
        <f>IF(C572="","",_xlfn.CONCAT(LEFT(InventoryTable[[#This Row],[Category]],1),InventoryTable[[#This Row],[Product Pricing Type]],ROW()))</f>
        <v/>
      </c>
      <c r="H572" t="str">
        <f t="shared" si="87"/>
        <v/>
      </c>
      <c r="K572" t="str">
        <f t="shared" si="88"/>
        <v/>
      </c>
      <c r="N572" t="str">
        <f t="shared" si="89"/>
        <v/>
      </c>
      <c r="P572" t="str">
        <f t="shared" si="90"/>
        <v/>
      </c>
      <c r="Q572" s="4" t="str">
        <f t="shared" si="91"/>
        <v/>
      </c>
      <c r="R572" t="str">
        <f t="shared" si="92"/>
        <v/>
      </c>
      <c r="S572" t="str">
        <f t="shared" si="93"/>
        <v/>
      </c>
      <c r="T572" t="str">
        <f>IF(C572="","",InventoryTable[[#This Row],[Profit per Unit]]*InventoryTable[[#This Row],[Total Pieces]])</f>
        <v/>
      </c>
      <c r="U572" t="str">
        <f t="shared" si="84"/>
        <v/>
      </c>
      <c r="V572" t="str">
        <f>IF(C572="","",H572-InventoryTable[[#This Row],[Units Sold]])</f>
        <v/>
      </c>
      <c r="W572" t="str">
        <f t="shared" si="85"/>
        <v/>
      </c>
      <c r="X572" t="str">
        <f t="shared" si="86"/>
        <v/>
      </c>
      <c r="Y572" t="str">
        <f>IF(C572="","",IF(InventoryTable[[#This Row],[Stock Balance]]&lt;=0,"Sold Out",IF((InventoryTable[[#This Row],[Stock Balance]]/InventoryTable[[#This Row],[Total Pieces]])&lt;=0.25,"Low on Stocks","Available")))</f>
        <v/>
      </c>
    </row>
    <row r="573" spans="1:25" x14ac:dyDescent="0.3">
      <c r="A573" t="str">
        <f>IF(C573="","",_xlfn.CONCAT(LEFT(InventoryTable[[#This Row],[Category]],1),InventoryTable[[#This Row],[Product Pricing Type]],ROW()))</f>
        <v/>
      </c>
      <c r="H573" t="str">
        <f t="shared" si="87"/>
        <v/>
      </c>
      <c r="K573" t="str">
        <f t="shared" si="88"/>
        <v/>
      </c>
      <c r="N573" t="str">
        <f t="shared" si="89"/>
        <v/>
      </c>
      <c r="P573" t="str">
        <f t="shared" si="90"/>
        <v/>
      </c>
      <c r="Q573" s="4" t="str">
        <f t="shared" si="91"/>
        <v/>
      </c>
      <c r="R573" t="str">
        <f t="shared" si="92"/>
        <v/>
      </c>
      <c r="S573" t="str">
        <f t="shared" si="93"/>
        <v/>
      </c>
      <c r="T573" t="str">
        <f>IF(C573="","",InventoryTable[[#This Row],[Profit per Unit]]*InventoryTable[[#This Row],[Total Pieces]])</f>
        <v/>
      </c>
      <c r="U573" t="str">
        <f t="shared" ref="U573:U636" si="94">IF(C573="","",0)</f>
        <v/>
      </c>
      <c r="V573" t="str">
        <f>IF(C573="","",H573-InventoryTable[[#This Row],[Units Sold]])</f>
        <v/>
      </c>
      <c r="W573" t="str">
        <f t="shared" ref="W573:W636" si="95">IF(C573="","",Q573*U573)</f>
        <v/>
      </c>
      <c r="X573" t="str">
        <f t="shared" ref="X573:X636" si="96">IF(C573="","",S573*U573)</f>
        <v/>
      </c>
      <c r="Y573" t="str">
        <f>IF(C573="","",IF(InventoryTable[[#This Row],[Stock Balance]]&lt;=0,"Sold Out",IF((InventoryTable[[#This Row],[Stock Balance]]/InventoryTable[[#This Row],[Total Pieces]])&lt;=0.25,"Low on Stocks","Available")))</f>
        <v/>
      </c>
    </row>
    <row r="574" spans="1:25" x14ac:dyDescent="0.3">
      <c r="A574" t="str">
        <f>IF(C574="","",_xlfn.CONCAT(LEFT(InventoryTable[[#This Row],[Category]],1),InventoryTable[[#This Row],[Product Pricing Type]],ROW()))</f>
        <v/>
      </c>
      <c r="H574" t="str">
        <f t="shared" si="87"/>
        <v/>
      </c>
      <c r="K574" t="str">
        <f t="shared" si="88"/>
        <v/>
      </c>
      <c r="N574" t="str">
        <f t="shared" si="89"/>
        <v/>
      </c>
      <c r="P574" t="str">
        <f t="shared" si="90"/>
        <v/>
      </c>
      <c r="Q574" s="4" t="str">
        <f t="shared" si="91"/>
        <v/>
      </c>
      <c r="R574" t="str">
        <f t="shared" si="92"/>
        <v/>
      </c>
      <c r="S574" t="str">
        <f t="shared" si="93"/>
        <v/>
      </c>
      <c r="T574" t="str">
        <f>IF(C574="","",InventoryTable[[#This Row],[Profit per Unit]]*InventoryTable[[#This Row],[Total Pieces]])</f>
        <v/>
      </c>
      <c r="U574" t="str">
        <f t="shared" si="94"/>
        <v/>
      </c>
      <c r="V574" t="str">
        <f>IF(C574="","",H574-InventoryTable[[#This Row],[Units Sold]])</f>
        <v/>
      </c>
      <c r="W574" t="str">
        <f t="shared" si="95"/>
        <v/>
      </c>
      <c r="X574" t="str">
        <f t="shared" si="96"/>
        <v/>
      </c>
      <c r="Y574" t="str">
        <f>IF(C574="","",IF(InventoryTable[[#This Row],[Stock Balance]]&lt;=0,"Sold Out",IF((InventoryTable[[#This Row],[Stock Balance]]/InventoryTable[[#This Row],[Total Pieces]])&lt;=0.25,"Low on Stocks","Available")))</f>
        <v/>
      </c>
    </row>
    <row r="575" spans="1:25" x14ac:dyDescent="0.3">
      <c r="A575" t="str">
        <f>IF(C575="","",_xlfn.CONCAT(LEFT(InventoryTable[[#This Row],[Category]],1),InventoryTable[[#This Row],[Product Pricing Type]],ROW()))</f>
        <v/>
      </c>
      <c r="H575" t="str">
        <f t="shared" si="87"/>
        <v/>
      </c>
      <c r="K575" t="str">
        <f t="shared" si="88"/>
        <v/>
      </c>
      <c r="N575" t="str">
        <f t="shared" si="89"/>
        <v/>
      </c>
      <c r="P575" t="str">
        <f t="shared" si="90"/>
        <v/>
      </c>
      <c r="Q575" s="4" t="str">
        <f t="shared" si="91"/>
        <v/>
      </c>
      <c r="R575" t="str">
        <f t="shared" si="92"/>
        <v/>
      </c>
      <c r="S575" t="str">
        <f t="shared" si="93"/>
        <v/>
      </c>
      <c r="T575" t="str">
        <f>IF(C575="","",InventoryTable[[#This Row],[Profit per Unit]]*InventoryTable[[#This Row],[Total Pieces]])</f>
        <v/>
      </c>
      <c r="U575" t="str">
        <f t="shared" si="94"/>
        <v/>
      </c>
      <c r="V575" t="str">
        <f>IF(C575="","",H575-InventoryTable[[#This Row],[Units Sold]])</f>
        <v/>
      </c>
      <c r="W575" t="str">
        <f t="shared" si="95"/>
        <v/>
      </c>
      <c r="X575" t="str">
        <f t="shared" si="96"/>
        <v/>
      </c>
      <c r="Y575" t="str">
        <f>IF(C575="","",IF(InventoryTable[[#This Row],[Stock Balance]]&lt;=0,"Sold Out",IF((InventoryTable[[#This Row],[Stock Balance]]/InventoryTable[[#This Row],[Total Pieces]])&lt;=0.25,"Low on Stocks","Available")))</f>
        <v/>
      </c>
    </row>
    <row r="576" spans="1:25" x14ac:dyDescent="0.3">
      <c r="A576" t="str">
        <f>IF(C576="","",_xlfn.CONCAT(LEFT(InventoryTable[[#This Row],[Category]],1),InventoryTable[[#This Row],[Product Pricing Type]],ROW()))</f>
        <v/>
      </c>
      <c r="H576" t="str">
        <f t="shared" si="87"/>
        <v/>
      </c>
      <c r="K576" t="str">
        <f t="shared" si="88"/>
        <v/>
      </c>
      <c r="N576" t="str">
        <f t="shared" si="89"/>
        <v/>
      </c>
      <c r="P576" t="str">
        <f t="shared" si="90"/>
        <v/>
      </c>
      <c r="Q576" s="4" t="str">
        <f t="shared" si="91"/>
        <v/>
      </c>
      <c r="R576" t="str">
        <f t="shared" si="92"/>
        <v/>
      </c>
      <c r="S576" t="str">
        <f t="shared" si="93"/>
        <v/>
      </c>
      <c r="T576" t="str">
        <f>IF(C576="","",InventoryTable[[#This Row],[Profit per Unit]]*InventoryTable[[#This Row],[Total Pieces]])</f>
        <v/>
      </c>
      <c r="U576" t="str">
        <f t="shared" si="94"/>
        <v/>
      </c>
      <c r="V576" t="str">
        <f>IF(C576="","",H576-InventoryTable[[#This Row],[Units Sold]])</f>
        <v/>
      </c>
      <c r="W576" t="str">
        <f t="shared" si="95"/>
        <v/>
      </c>
      <c r="X576" t="str">
        <f t="shared" si="96"/>
        <v/>
      </c>
      <c r="Y576" t="str">
        <f>IF(C576="","",IF(InventoryTable[[#This Row],[Stock Balance]]&lt;=0,"Sold Out",IF((InventoryTable[[#This Row],[Stock Balance]]/InventoryTable[[#This Row],[Total Pieces]])&lt;=0.25,"Low on Stocks","Available")))</f>
        <v/>
      </c>
    </row>
    <row r="577" spans="1:25" x14ac:dyDescent="0.3">
      <c r="A577" t="str">
        <f>IF(C577="","",_xlfn.CONCAT(LEFT(InventoryTable[[#This Row],[Category]],1),InventoryTable[[#This Row],[Product Pricing Type]],ROW()))</f>
        <v/>
      </c>
      <c r="H577" t="str">
        <f t="shared" si="87"/>
        <v/>
      </c>
      <c r="K577" t="str">
        <f t="shared" si="88"/>
        <v/>
      </c>
      <c r="N577" t="str">
        <f t="shared" si="89"/>
        <v/>
      </c>
      <c r="P577" t="str">
        <f t="shared" si="90"/>
        <v/>
      </c>
      <c r="Q577" s="4" t="str">
        <f t="shared" si="91"/>
        <v/>
      </c>
      <c r="R577" t="str">
        <f t="shared" si="92"/>
        <v/>
      </c>
      <c r="S577" t="str">
        <f t="shared" si="93"/>
        <v/>
      </c>
      <c r="T577" t="str">
        <f>IF(C577="","",InventoryTable[[#This Row],[Profit per Unit]]*InventoryTable[[#This Row],[Total Pieces]])</f>
        <v/>
      </c>
      <c r="U577" t="str">
        <f t="shared" si="94"/>
        <v/>
      </c>
      <c r="V577" t="str">
        <f>IF(C577="","",H577-InventoryTable[[#This Row],[Units Sold]])</f>
        <v/>
      </c>
      <c r="W577" t="str">
        <f t="shared" si="95"/>
        <v/>
      </c>
      <c r="X577" t="str">
        <f t="shared" si="96"/>
        <v/>
      </c>
      <c r="Y577" t="str">
        <f>IF(C577="","",IF(InventoryTable[[#This Row],[Stock Balance]]&lt;=0,"Sold Out",IF((InventoryTable[[#This Row],[Stock Balance]]/InventoryTable[[#This Row],[Total Pieces]])&lt;=0.25,"Low on Stocks","Available")))</f>
        <v/>
      </c>
    </row>
    <row r="578" spans="1:25" x14ac:dyDescent="0.3">
      <c r="A578" t="str">
        <f>IF(C578="","",_xlfn.CONCAT(LEFT(InventoryTable[[#This Row],[Category]],1),InventoryTable[[#This Row],[Product Pricing Type]],ROW()))</f>
        <v/>
      </c>
      <c r="H578" t="str">
        <f t="shared" si="87"/>
        <v/>
      </c>
      <c r="K578" t="str">
        <f t="shared" si="88"/>
        <v/>
      </c>
      <c r="N578" t="str">
        <f t="shared" si="89"/>
        <v/>
      </c>
      <c r="P578" t="str">
        <f t="shared" si="90"/>
        <v/>
      </c>
      <c r="Q578" s="4" t="str">
        <f t="shared" si="91"/>
        <v/>
      </c>
      <c r="R578" t="str">
        <f t="shared" si="92"/>
        <v/>
      </c>
      <c r="S578" t="str">
        <f t="shared" si="93"/>
        <v/>
      </c>
      <c r="T578" t="str">
        <f>IF(C578="","",InventoryTable[[#This Row],[Profit per Unit]]*InventoryTable[[#This Row],[Total Pieces]])</f>
        <v/>
      </c>
      <c r="U578" t="str">
        <f t="shared" si="94"/>
        <v/>
      </c>
      <c r="V578" t="str">
        <f>IF(C578="","",H578-InventoryTable[[#This Row],[Units Sold]])</f>
        <v/>
      </c>
      <c r="W578" t="str">
        <f t="shared" si="95"/>
        <v/>
      </c>
      <c r="X578" t="str">
        <f t="shared" si="96"/>
        <v/>
      </c>
      <c r="Y578" t="str">
        <f>IF(C578="","",IF(InventoryTable[[#This Row],[Stock Balance]]&lt;=0,"Sold Out",IF((InventoryTable[[#This Row],[Stock Balance]]/InventoryTable[[#This Row],[Total Pieces]])&lt;=0.25,"Low on Stocks","Available")))</f>
        <v/>
      </c>
    </row>
    <row r="579" spans="1:25" x14ac:dyDescent="0.3">
      <c r="A579" t="str">
        <f>IF(C579="","",_xlfn.CONCAT(LEFT(InventoryTable[[#This Row],[Category]],1),InventoryTable[[#This Row],[Product Pricing Type]],ROW()))</f>
        <v/>
      </c>
      <c r="H579" t="str">
        <f t="shared" si="87"/>
        <v/>
      </c>
      <c r="K579" t="str">
        <f t="shared" si="88"/>
        <v/>
      </c>
      <c r="N579" t="str">
        <f t="shared" si="89"/>
        <v/>
      </c>
      <c r="P579" t="str">
        <f t="shared" si="90"/>
        <v/>
      </c>
      <c r="Q579" s="4" t="str">
        <f t="shared" si="91"/>
        <v/>
      </c>
      <c r="R579" t="str">
        <f t="shared" si="92"/>
        <v/>
      </c>
      <c r="S579" t="str">
        <f t="shared" si="93"/>
        <v/>
      </c>
      <c r="T579" t="str">
        <f>IF(C579="","",InventoryTable[[#This Row],[Profit per Unit]]*InventoryTable[[#This Row],[Total Pieces]])</f>
        <v/>
      </c>
      <c r="U579" t="str">
        <f t="shared" si="94"/>
        <v/>
      </c>
      <c r="V579" t="str">
        <f>IF(C579="","",H579-InventoryTable[[#This Row],[Units Sold]])</f>
        <v/>
      </c>
      <c r="W579" t="str">
        <f t="shared" si="95"/>
        <v/>
      </c>
      <c r="X579" t="str">
        <f t="shared" si="96"/>
        <v/>
      </c>
      <c r="Y579" t="str">
        <f>IF(C579="","",IF(InventoryTable[[#This Row],[Stock Balance]]&lt;=0,"Sold Out",IF((InventoryTable[[#This Row],[Stock Balance]]/InventoryTable[[#This Row],[Total Pieces]])&lt;=0.25,"Low on Stocks","Available")))</f>
        <v/>
      </c>
    </row>
    <row r="580" spans="1:25" x14ac:dyDescent="0.3">
      <c r="A580" t="str">
        <f>IF(C580="","",_xlfn.CONCAT(LEFT(InventoryTable[[#This Row],[Category]],1),InventoryTable[[#This Row],[Product Pricing Type]],ROW()))</f>
        <v/>
      </c>
      <c r="H580" t="str">
        <f t="shared" si="87"/>
        <v/>
      </c>
      <c r="K580" t="str">
        <f t="shared" si="88"/>
        <v/>
      </c>
      <c r="N580" t="str">
        <f t="shared" si="89"/>
        <v/>
      </c>
      <c r="P580" t="str">
        <f t="shared" si="90"/>
        <v/>
      </c>
      <c r="Q580" s="4" t="str">
        <f t="shared" si="91"/>
        <v/>
      </c>
      <c r="R580" t="str">
        <f t="shared" si="92"/>
        <v/>
      </c>
      <c r="S580" t="str">
        <f t="shared" si="93"/>
        <v/>
      </c>
      <c r="T580" t="str">
        <f>IF(C580="","",InventoryTable[[#This Row],[Profit per Unit]]*InventoryTable[[#This Row],[Total Pieces]])</f>
        <v/>
      </c>
      <c r="U580" t="str">
        <f t="shared" si="94"/>
        <v/>
      </c>
      <c r="V580" t="str">
        <f>IF(C580="","",H580-InventoryTable[[#This Row],[Units Sold]])</f>
        <v/>
      </c>
      <c r="W580" t="str">
        <f t="shared" si="95"/>
        <v/>
      </c>
      <c r="X580" t="str">
        <f t="shared" si="96"/>
        <v/>
      </c>
      <c r="Y580" t="str">
        <f>IF(C580="","",IF(InventoryTable[[#This Row],[Stock Balance]]&lt;=0,"Sold Out",IF((InventoryTable[[#This Row],[Stock Balance]]/InventoryTable[[#This Row],[Total Pieces]])&lt;=0.25,"Low on Stocks","Available")))</f>
        <v/>
      </c>
    </row>
    <row r="581" spans="1:25" x14ac:dyDescent="0.3">
      <c r="A581" t="str">
        <f>IF(C581="","",_xlfn.CONCAT(LEFT(InventoryTable[[#This Row],[Category]],1),InventoryTable[[#This Row],[Product Pricing Type]],ROW()))</f>
        <v/>
      </c>
      <c r="H581" t="str">
        <f t="shared" si="87"/>
        <v/>
      </c>
      <c r="K581" t="str">
        <f t="shared" si="88"/>
        <v/>
      </c>
      <c r="N581" t="str">
        <f t="shared" si="89"/>
        <v/>
      </c>
      <c r="P581" t="str">
        <f t="shared" si="90"/>
        <v/>
      </c>
      <c r="Q581" s="4" t="str">
        <f t="shared" si="91"/>
        <v/>
      </c>
      <c r="R581" t="str">
        <f t="shared" si="92"/>
        <v/>
      </c>
      <c r="S581" t="str">
        <f t="shared" si="93"/>
        <v/>
      </c>
      <c r="T581" t="str">
        <f>IF(C581="","",InventoryTable[[#This Row],[Profit per Unit]]*InventoryTable[[#This Row],[Total Pieces]])</f>
        <v/>
      </c>
      <c r="U581" t="str">
        <f t="shared" si="94"/>
        <v/>
      </c>
      <c r="V581" t="str">
        <f>IF(C581="","",H581-InventoryTable[[#This Row],[Units Sold]])</f>
        <v/>
      </c>
      <c r="W581" t="str">
        <f t="shared" si="95"/>
        <v/>
      </c>
      <c r="X581" t="str">
        <f t="shared" si="96"/>
        <v/>
      </c>
      <c r="Y581" t="str">
        <f>IF(C581="","",IF(InventoryTable[[#This Row],[Stock Balance]]&lt;=0,"Sold Out",IF((InventoryTable[[#This Row],[Stock Balance]]/InventoryTable[[#This Row],[Total Pieces]])&lt;=0.25,"Low on Stocks","Available")))</f>
        <v/>
      </c>
    </row>
    <row r="582" spans="1:25" x14ac:dyDescent="0.3">
      <c r="A582" t="str">
        <f>IF(C582="","",_xlfn.CONCAT(LEFT(InventoryTable[[#This Row],[Category]],1),InventoryTable[[#This Row],[Product Pricing Type]],ROW()))</f>
        <v/>
      </c>
      <c r="H582" t="str">
        <f t="shared" si="87"/>
        <v/>
      </c>
      <c r="K582" t="str">
        <f t="shared" si="88"/>
        <v/>
      </c>
      <c r="N582" t="str">
        <f t="shared" si="89"/>
        <v/>
      </c>
      <c r="P582" t="str">
        <f t="shared" si="90"/>
        <v/>
      </c>
      <c r="Q582" s="4" t="str">
        <f t="shared" si="91"/>
        <v/>
      </c>
      <c r="R582" t="str">
        <f t="shared" si="92"/>
        <v/>
      </c>
      <c r="S582" t="str">
        <f t="shared" si="93"/>
        <v/>
      </c>
      <c r="T582" t="str">
        <f>IF(C582="","",InventoryTable[[#This Row],[Profit per Unit]]*InventoryTable[[#This Row],[Total Pieces]])</f>
        <v/>
      </c>
      <c r="U582" t="str">
        <f t="shared" si="94"/>
        <v/>
      </c>
      <c r="V582" t="str">
        <f>IF(C582="","",H582-InventoryTable[[#This Row],[Units Sold]])</f>
        <v/>
      </c>
      <c r="W582" t="str">
        <f t="shared" si="95"/>
        <v/>
      </c>
      <c r="X582" t="str">
        <f t="shared" si="96"/>
        <v/>
      </c>
      <c r="Y582" t="str">
        <f>IF(C582="","",IF(InventoryTable[[#This Row],[Stock Balance]]&lt;=0,"Sold Out",IF((InventoryTable[[#This Row],[Stock Balance]]/InventoryTable[[#This Row],[Total Pieces]])&lt;=0.25,"Low on Stocks","Available")))</f>
        <v/>
      </c>
    </row>
    <row r="583" spans="1:25" x14ac:dyDescent="0.3">
      <c r="A583" t="str">
        <f>IF(C583="","",_xlfn.CONCAT(LEFT(InventoryTable[[#This Row],[Category]],1),InventoryTable[[#This Row],[Product Pricing Type]],ROW()))</f>
        <v/>
      </c>
      <c r="H583" t="str">
        <f t="shared" si="87"/>
        <v/>
      </c>
      <c r="K583" t="str">
        <f t="shared" si="88"/>
        <v/>
      </c>
      <c r="N583" t="str">
        <f t="shared" si="89"/>
        <v/>
      </c>
      <c r="P583" t="str">
        <f t="shared" si="90"/>
        <v/>
      </c>
      <c r="Q583" s="4" t="str">
        <f t="shared" si="91"/>
        <v/>
      </c>
      <c r="R583" t="str">
        <f t="shared" si="92"/>
        <v/>
      </c>
      <c r="S583" t="str">
        <f t="shared" si="93"/>
        <v/>
      </c>
      <c r="T583" t="str">
        <f>IF(C583="","",InventoryTable[[#This Row],[Profit per Unit]]*InventoryTable[[#This Row],[Total Pieces]])</f>
        <v/>
      </c>
      <c r="U583" t="str">
        <f t="shared" si="94"/>
        <v/>
      </c>
      <c r="V583" t="str">
        <f>IF(C583="","",H583-InventoryTable[[#This Row],[Units Sold]])</f>
        <v/>
      </c>
      <c r="W583" t="str">
        <f t="shared" si="95"/>
        <v/>
      </c>
      <c r="X583" t="str">
        <f t="shared" si="96"/>
        <v/>
      </c>
      <c r="Y583" t="str">
        <f>IF(C583="","",IF(InventoryTable[[#This Row],[Stock Balance]]&lt;=0,"Sold Out",IF((InventoryTable[[#This Row],[Stock Balance]]/InventoryTable[[#This Row],[Total Pieces]])&lt;=0.25,"Low on Stocks","Available")))</f>
        <v/>
      </c>
    </row>
    <row r="584" spans="1:25" x14ac:dyDescent="0.3">
      <c r="A584" t="str">
        <f>IF(C584="","",_xlfn.CONCAT(LEFT(InventoryTable[[#This Row],[Category]],1),InventoryTable[[#This Row],[Product Pricing Type]],ROW()))</f>
        <v/>
      </c>
      <c r="H584" t="str">
        <f t="shared" si="87"/>
        <v/>
      </c>
      <c r="K584" t="str">
        <f t="shared" si="88"/>
        <v/>
      </c>
      <c r="N584" t="str">
        <f t="shared" si="89"/>
        <v/>
      </c>
      <c r="P584" t="str">
        <f t="shared" si="90"/>
        <v/>
      </c>
      <c r="Q584" s="4" t="str">
        <f t="shared" si="91"/>
        <v/>
      </c>
      <c r="R584" t="str">
        <f t="shared" si="92"/>
        <v/>
      </c>
      <c r="S584" t="str">
        <f t="shared" si="93"/>
        <v/>
      </c>
      <c r="T584" t="str">
        <f>IF(C584="","",InventoryTable[[#This Row],[Profit per Unit]]*InventoryTable[[#This Row],[Total Pieces]])</f>
        <v/>
      </c>
      <c r="U584" t="str">
        <f t="shared" si="94"/>
        <v/>
      </c>
      <c r="V584" t="str">
        <f>IF(C584="","",H584-InventoryTable[[#This Row],[Units Sold]])</f>
        <v/>
      </c>
      <c r="W584" t="str">
        <f t="shared" si="95"/>
        <v/>
      </c>
      <c r="X584" t="str">
        <f t="shared" si="96"/>
        <v/>
      </c>
      <c r="Y584" t="str">
        <f>IF(C584="","",IF(InventoryTable[[#This Row],[Stock Balance]]&lt;=0,"Sold Out",IF((InventoryTable[[#This Row],[Stock Balance]]/InventoryTable[[#This Row],[Total Pieces]])&lt;=0.25,"Low on Stocks","Available")))</f>
        <v/>
      </c>
    </row>
    <row r="585" spans="1:25" x14ac:dyDescent="0.3">
      <c r="A585" t="str">
        <f>IF(C585="","",_xlfn.CONCAT(LEFT(InventoryTable[[#This Row],[Category]],1),InventoryTable[[#This Row],[Product Pricing Type]],ROW()))</f>
        <v/>
      </c>
      <c r="H585" t="str">
        <f t="shared" si="87"/>
        <v/>
      </c>
      <c r="K585" t="str">
        <f t="shared" si="88"/>
        <v/>
      </c>
      <c r="N585" t="str">
        <f t="shared" si="89"/>
        <v/>
      </c>
      <c r="P585" t="str">
        <f t="shared" si="90"/>
        <v/>
      </c>
      <c r="Q585" s="4" t="str">
        <f t="shared" si="91"/>
        <v/>
      </c>
      <c r="R585" t="str">
        <f t="shared" si="92"/>
        <v/>
      </c>
      <c r="S585" t="str">
        <f t="shared" si="93"/>
        <v/>
      </c>
      <c r="T585" t="str">
        <f>IF(C585="","",InventoryTable[[#This Row],[Profit per Unit]]*InventoryTable[[#This Row],[Total Pieces]])</f>
        <v/>
      </c>
      <c r="U585" t="str">
        <f t="shared" si="94"/>
        <v/>
      </c>
      <c r="V585" t="str">
        <f>IF(C585="","",H585-InventoryTable[[#This Row],[Units Sold]])</f>
        <v/>
      </c>
      <c r="W585" t="str">
        <f t="shared" si="95"/>
        <v/>
      </c>
      <c r="X585" t="str">
        <f t="shared" si="96"/>
        <v/>
      </c>
      <c r="Y585" t="str">
        <f>IF(C585="","",IF(InventoryTable[[#This Row],[Stock Balance]]&lt;=0,"Sold Out",IF((InventoryTable[[#This Row],[Stock Balance]]/InventoryTable[[#This Row],[Total Pieces]])&lt;=0.25,"Low on Stocks","Available")))</f>
        <v/>
      </c>
    </row>
    <row r="586" spans="1:25" x14ac:dyDescent="0.3">
      <c r="A586" t="str">
        <f>IF(C586="","",_xlfn.CONCAT(LEFT(InventoryTable[[#This Row],[Category]],1),InventoryTable[[#This Row],[Product Pricing Type]],ROW()))</f>
        <v/>
      </c>
      <c r="H586" t="str">
        <f t="shared" si="87"/>
        <v/>
      </c>
      <c r="K586" t="str">
        <f t="shared" si="88"/>
        <v/>
      </c>
      <c r="N586" t="str">
        <f t="shared" si="89"/>
        <v/>
      </c>
      <c r="P586" t="str">
        <f t="shared" si="90"/>
        <v/>
      </c>
      <c r="Q586" s="4" t="str">
        <f t="shared" si="91"/>
        <v/>
      </c>
      <c r="R586" t="str">
        <f t="shared" si="92"/>
        <v/>
      </c>
      <c r="S586" t="str">
        <f t="shared" si="93"/>
        <v/>
      </c>
      <c r="T586" t="str">
        <f>IF(C586="","",InventoryTable[[#This Row],[Profit per Unit]]*InventoryTable[[#This Row],[Total Pieces]])</f>
        <v/>
      </c>
      <c r="U586" t="str">
        <f t="shared" si="94"/>
        <v/>
      </c>
      <c r="V586" t="str">
        <f>IF(C586="","",H586-InventoryTable[[#This Row],[Units Sold]])</f>
        <v/>
      </c>
      <c r="W586" t="str">
        <f t="shared" si="95"/>
        <v/>
      </c>
      <c r="X586" t="str">
        <f t="shared" si="96"/>
        <v/>
      </c>
      <c r="Y586" t="str">
        <f>IF(C586="","",IF(InventoryTable[[#This Row],[Stock Balance]]&lt;=0,"Sold Out",IF((InventoryTable[[#This Row],[Stock Balance]]/InventoryTable[[#This Row],[Total Pieces]])&lt;=0.25,"Low on Stocks","Available")))</f>
        <v/>
      </c>
    </row>
    <row r="587" spans="1:25" x14ac:dyDescent="0.3">
      <c r="A587" t="str">
        <f>IF(C587="","",_xlfn.CONCAT(LEFT(InventoryTable[[#This Row],[Category]],1),InventoryTable[[#This Row],[Product Pricing Type]],ROW()))</f>
        <v/>
      </c>
      <c r="H587" t="str">
        <f t="shared" si="87"/>
        <v/>
      </c>
      <c r="K587" t="str">
        <f t="shared" si="88"/>
        <v/>
      </c>
      <c r="N587" t="str">
        <f t="shared" si="89"/>
        <v/>
      </c>
      <c r="P587" t="str">
        <f t="shared" si="90"/>
        <v/>
      </c>
      <c r="Q587" s="4" t="str">
        <f t="shared" si="91"/>
        <v/>
      </c>
      <c r="R587" t="str">
        <f t="shared" si="92"/>
        <v/>
      </c>
      <c r="S587" t="str">
        <f t="shared" si="93"/>
        <v/>
      </c>
      <c r="T587" t="str">
        <f>IF(C587="","",InventoryTable[[#This Row],[Profit per Unit]]*InventoryTable[[#This Row],[Total Pieces]])</f>
        <v/>
      </c>
      <c r="U587" t="str">
        <f t="shared" si="94"/>
        <v/>
      </c>
      <c r="V587" t="str">
        <f>IF(C587="","",H587-InventoryTable[[#This Row],[Units Sold]])</f>
        <v/>
      </c>
      <c r="W587" t="str">
        <f t="shared" si="95"/>
        <v/>
      </c>
      <c r="X587" t="str">
        <f t="shared" si="96"/>
        <v/>
      </c>
      <c r="Y587" t="str">
        <f>IF(C587="","",IF(InventoryTable[[#This Row],[Stock Balance]]&lt;=0,"Sold Out",IF((InventoryTable[[#This Row],[Stock Balance]]/InventoryTable[[#This Row],[Total Pieces]])&lt;=0.25,"Low on Stocks","Available")))</f>
        <v/>
      </c>
    </row>
    <row r="588" spans="1:25" x14ac:dyDescent="0.3">
      <c r="A588" t="str">
        <f>IF(C588="","",_xlfn.CONCAT(LEFT(InventoryTable[[#This Row],[Category]],1),InventoryTable[[#This Row],[Product Pricing Type]],ROW()))</f>
        <v/>
      </c>
      <c r="H588" t="str">
        <f t="shared" si="87"/>
        <v/>
      </c>
      <c r="K588" t="str">
        <f t="shared" si="88"/>
        <v/>
      </c>
      <c r="N588" t="str">
        <f t="shared" si="89"/>
        <v/>
      </c>
      <c r="P588" t="str">
        <f t="shared" si="90"/>
        <v/>
      </c>
      <c r="Q588" s="4" t="str">
        <f t="shared" si="91"/>
        <v/>
      </c>
      <c r="R588" t="str">
        <f t="shared" si="92"/>
        <v/>
      </c>
      <c r="S588" t="str">
        <f t="shared" si="93"/>
        <v/>
      </c>
      <c r="T588" t="str">
        <f>IF(C588="","",InventoryTable[[#This Row],[Profit per Unit]]*InventoryTable[[#This Row],[Total Pieces]])</f>
        <v/>
      </c>
      <c r="U588" t="str">
        <f t="shared" si="94"/>
        <v/>
      </c>
      <c r="V588" t="str">
        <f>IF(C588="","",H588-InventoryTable[[#This Row],[Units Sold]])</f>
        <v/>
      </c>
      <c r="W588" t="str">
        <f t="shared" si="95"/>
        <v/>
      </c>
      <c r="X588" t="str">
        <f t="shared" si="96"/>
        <v/>
      </c>
      <c r="Y588" t="str">
        <f>IF(C588="","",IF(InventoryTable[[#This Row],[Stock Balance]]&lt;=0,"Sold Out",IF((InventoryTable[[#This Row],[Stock Balance]]/InventoryTable[[#This Row],[Total Pieces]])&lt;=0.25,"Low on Stocks","Available")))</f>
        <v/>
      </c>
    </row>
    <row r="589" spans="1:25" x14ac:dyDescent="0.3">
      <c r="A589" t="str">
        <f>IF(C589="","",_xlfn.CONCAT(LEFT(InventoryTable[[#This Row],[Category]],1),InventoryTable[[#This Row],[Product Pricing Type]],ROW()))</f>
        <v/>
      </c>
      <c r="H589" t="str">
        <f t="shared" si="87"/>
        <v/>
      </c>
      <c r="K589" t="str">
        <f t="shared" si="88"/>
        <v/>
      </c>
      <c r="N589" t="str">
        <f t="shared" si="89"/>
        <v/>
      </c>
      <c r="P589" t="str">
        <f t="shared" si="90"/>
        <v/>
      </c>
      <c r="Q589" s="4" t="str">
        <f t="shared" si="91"/>
        <v/>
      </c>
      <c r="R589" t="str">
        <f t="shared" si="92"/>
        <v/>
      </c>
      <c r="S589" t="str">
        <f t="shared" si="93"/>
        <v/>
      </c>
      <c r="T589" t="str">
        <f>IF(C589="","",InventoryTable[[#This Row],[Profit per Unit]]*InventoryTable[[#This Row],[Total Pieces]])</f>
        <v/>
      </c>
      <c r="U589" t="str">
        <f t="shared" si="94"/>
        <v/>
      </c>
      <c r="V589" t="str">
        <f>IF(C589="","",H589-InventoryTable[[#This Row],[Units Sold]])</f>
        <v/>
      </c>
      <c r="W589" t="str">
        <f t="shared" si="95"/>
        <v/>
      </c>
      <c r="X589" t="str">
        <f t="shared" si="96"/>
        <v/>
      </c>
      <c r="Y589" t="str">
        <f>IF(C589="","",IF(InventoryTable[[#This Row],[Stock Balance]]&lt;=0,"Sold Out",IF((InventoryTable[[#This Row],[Stock Balance]]/InventoryTable[[#This Row],[Total Pieces]])&lt;=0.25,"Low on Stocks","Available")))</f>
        <v/>
      </c>
    </row>
    <row r="590" spans="1:25" x14ac:dyDescent="0.3">
      <c r="A590" t="str">
        <f>IF(C590="","",_xlfn.CONCAT(LEFT(InventoryTable[[#This Row],[Category]],1),InventoryTable[[#This Row],[Product Pricing Type]],ROW()))</f>
        <v/>
      </c>
      <c r="H590" t="str">
        <f t="shared" si="87"/>
        <v/>
      </c>
      <c r="K590" t="str">
        <f t="shared" si="88"/>
        <v/>
      </c>
      <c r="N590" t="str">
        <f t="shared" si="89"/>
        <v/>
      </c>
      <c r="P590" t="str">
        <f t="shared" si="90"/>
        <v/>
      </c>
      <c r="Q590" s="4" t="str">
        <f t="shared" si="91"/>
        <v/>
      </c>
      <c r="R590" t="str">
        <f t="shared" si="92"/>
        <v/>
      </c>
      <c r="S590" t="str">
        <f t="shared" si="93"/>
        <v/>
      </c>
      <c r="T590" t="str">
        <f>IF(C590="","",InventoryTable[[#This Row],[Profit per Unit]]*InventoryTable[[#This Row],[Total Pieces]])</f>
        <v/>
      </c>
      <c r="U590" t="str">
        <f t="shared" si="94"/>
        <v/>
      </c>
      <c r="V590" t="str">
        <f>IF(C590="","",H590-InventoryTable[[#This Row],[Units Sold]])</f>
        <v/>
      </c>
      <c r="W590" t="str">
        <f t="shared" si="95"/>
        <v/>
      </c>
      <c r="X590" t="str">
        <f t="shared" si="96"/>
        <v/>
      </c>
      <c r="Y590" t="str">
        <f>IF(C590="","",IF(InventoryTable[[#This Row],[Stock Balance]]&lt;=0,"Sold Out",IF((InventoryTable[[#This Row],[Stock Balance]]/InventoryTable[[#This Row],[Total Pieces]])&lt;=0.25,"Low on Stocks","Available")))</f>
        <v/>
      </c>
    </row>
    <row r="591" spans="1:25" x14ac:dyDescent="0.3">
      <c r="A591" t="str">
        <f>IF(C591="","",_xlfn.CONCAT(LEFT(InventoryTable[[#This Row],[Category]],1),InventoryTable[[#This Row],[Product Pricing Type]],ROW()))</f>
        <v/>
      </c>
      <c r="H591" t="str">
        <f t="shared" si="87"/>
        <v/>
      </c>
      <c r="K591" t="str">
        <f t="shared" si="88"/>
        <v/>
      </c>
      <c r="N591" t="str">
        <f t="shared" si="89"/>
        <v/>
      </c>
      <c r="P591" t="str">
        <f t="shared" si="90"/>
        <v/>
      </c>
      <c r="Q591" s="4" t="str">
        <f t="shared" si="91"/>
        <v/>
      </c>
      <c r="R591" t="str">
        <f t="shared" si="92"/>
        <v/>
      </c>
      <c r="S591" t="str">
        <f t="shared" si="93"/>
        <v/>
      </c>
      <c r="T591" t="str">
        <f>IF(C591="","",InventoryTable[[#This Row],[Profit per Unit]]*InventoryTable[[#This Row],[Total Pieces]])</f>
        <v/>
      </c>
      <c r="U591" t="str">
        <f t="shared" si="94"/>
        <v/>
      </c>
      <c r="V591" t="str">
        <f>IF(C591="","",H591-InventoryTable[[#This Row],[Units Sold]])</f>
        <v/>
      </c>
      <c r="W591" t="str">
        <f t="shared" si="95"/>
        <v/>
      </c>
      <c r="X591" t="str">
        <f t="shared" si="96"/>
        <v/>
      </c>
      <c r="Y591" t="str">
        <f>IF(C591="","",IF(InventoryTable[[#This Row],[Stock Balance]]&lt;=0,"Sold Out",IF((InventoryTable[[#This Row],[Stock Balance]]/InventoryTable[[#This Row],[Total Pieces]])&lt;=0.25,"Low on Stocks","Available")))</f>
        <v/>
      </c>
    </row>
    <row r="592" spans="1:25" x14ac:dyDescent="0.3">
      <c r="A592" t="str">
        <f>IF(C592="","",_xlfn.CONCAT(LEFT(InventoryTable[[#This Row],[Category]],1),InventoryTable[[#This Row],[Product Pricing Type]],ROW()))</f>
        <v/>
      </c>
      <c r="H592" t="str">
        <f t="shared" si="87"/>
        <v/>
      </c>
      <c r="K592" t="str">
        <f t="shared" si="88"/>
        <v/>
      </c>
      <c r="N592" t="str">
        <f t="shared" si="89"/>
        <v/>
      </c>
      <c r="P592" t="str">
        <f t="shared" si="90"/>
        <v/>
      </c>
      <c r="Q592" s="4" t="str">
        <f t="shared" si="91"/>
        <v/>
      </c>
      <c r="R592" t="str">
        <f t="shared" si="92"/>
        <v/>
      </c>
      <c r="S592" t="str">
        <f t="shared" si="93"/>
        <v/>
      </c>
      <c r="T592" t="str">
        <f>IF(C592="","",InventoryTable[[#This Row],[Profit per Unit]]*InventoryTable[[#This Row],[Total Pieces]])</f>
        <v/>
      </c>
      <c r="U592" t="str">
        <f t="shared" si="94"/>
        <v/>
      </c>
      <c r="V592" t="str">
        <f>IF(C592="","",H592-InventoryTable[[#This Row],[Units Sold]])</f>
        <v/>
      </c>
      <c r="W592" t="str">
        <f t="shared" si="95"/>
        <v/>
      </c>
      <c r="X592" t="str">
        <f t="shared" si="96"/>
        <v/>
      </c>
      <c r="Y592" t="str">
        <f>IF(C592="","",IF(InventoryTable[[#This Row],[Stock Balance]]&lt;=0,"Sold Out",IF((InventoryTable[[#This Row],[Stock Balance]]/InventoryTable[[#This Row],[Total Pieces]])&lt;=0.25,"Low on Stocks","Available")))</f>
        <v/>
      </c>
    </row>
    <row r="593" spans="1:25" x14ac:dyDescent="0.3">
      <c r="A593" t="str">
        <f>IF(C593="","",_xlfn.CONCAT(LEFT(InventoryTable[[#This Row],[Category]],1),InventoryTable[[#This Row],[Product Pricing Type]],ROW()))</f>
        <v/>
      </c>
      <c r="H593" t="str">
        <f t="shared" si="87"/>
        <v/>
      </c>
      <c r="K593" t="str">
        <f t="shared" si="88"/>
        <v/>
      </c>
      <c r="N593" t="str">
        <f t="shared" si="89"/>
        <v/>
      </c>
      <c r="P593" t="str">
        <f t="shared" si="90"/>
        <v/>
      </c>
      <c r="Q593" s="4" t="str">
        <f t="shared" si="91"/>
        <v/>
      </c>
      <c r="R593" t="str">
        <f t="shared" si="92"/>
        <v/>
      </c>
      <c r="S593" t="str">
        <f t="shared" si="93"/>
        <v/>
      </c>
      <c r="T593" t="str">
        <f>IF(C593="","",InventoryTable[[#This Row],[Profit per Unit]]*InventoryTable[[#This Row],[Total Pieces]])</f>
        <v/>
      </c>
      <c r="U593" t="str">
        <f t="shared" si="94"/>
        <v/>
      </c>
      <c r="V593" t="str">
        <f>IF(C593="","",H593-InventoryTable[[#This Row],[Units Sold]])</f>
        <v/>
      </c>
      <c r="W593" t="str">
        <f t="shared" si="95"/>
        <v/>
      </c>
      <c r="X593" t="str">
        <f t="shared" si="96"/>
        <v/>
      </c>
      <c r="Y593" t="str">
        <f>IF(C593="","",IF(InventoryTable[[#This Row],[Stock Balance]]&lt;=0,"Sold Out",IF((InventoryTable[[#This Row],[Stock Balance]]/InventoryTable[[#This Row],[Total Pieces]])&lt;=0.25,"Low on Stocks","Available")))</f>
        <v/>
      </c>
    </row>
    <row r="594" spans="1:25" x14ac:dyDescent="0.3">
      <c r="A594" t="str">
        <f>IF(C594="","",_xlfn.CONCAT(LEFT(InventoryTable[[#This Row],[Category]],1),InventoryTable[[#This Row],[Product Pricing Type]],ROW()))</f>
        <v/>
      </c>
      <c r="H594" t="str">
        <f t="shared" si="87"/>
        <v/>
      </c>
      <c r="K594" t="str">
        <f t="shared" si="88"/>
        <v/>
      </c>
      <c r="N594" t="str">
        <f t="shared" si="89"/>
        <v/>
      </c>
      <c r="P594" t="str">
        <f t="shared" si="90"/>
        <v/>
      </c>
      <c r="Q594" s="4" t="str">
        <f t="shared" si="91"/>
        <v/>
      </c>
      <c r="R594" t="str">
        <f t="shared" si="92"/>
        <v/>
      </c>
      <c r="S594" t="str">
        <f t="shared" si="93"/>
        <v/>
      </c>
      <c r="T594" t="str">
        <f>IF(C594="","",InventoryTable[[#This Row],[Profit per Unit]]*InventoryTable[[#This Row],[Total Pieces]])</f>
        <v/>
      </c>
      <c r="U594" t="str">
        <f t="shared" si="94"/>
        <v/>
      </c>
      <c r="V594" t="str">
        <f>IF(C594="","",H594-InventoryTable[[#This Row],[Units Sold]])</f>
        <v/>
      </c>
      <c r="W594" t="str">
        <f t="shared" si="95"/>
        <v/>
      </c>
      <c r="X594" t="str">
        <f t="shared" si="96"/>
        <v/>
      </c>
      <c r="Y594" t="str">
        <f>IF(C594="","",IF(InventoryTable[[#This Row],[Stock Balance]]&lt;=0,"Sold Out",IF((InventoryTable[[#This Row],[Stock Balance]]/InventoryTable[[#This Row],[Total Pieces]])&lt;=0.25,"Low on Stocks","Available")))</f>
        <v/>
      </c>
    </row>
    <row r="595" spans="1:25" x14ac:dyDescent="0.3">
      <c r="A595" t="str">
        <f>IF(C595="","",_xlfn.CONCAT(LEFT(InventoryTable[[#This Row],[Category]],1),InventoryTable[[#This Row],[Product Pricing Type]],ROW()))</f>
        <v/>
      </c>
      <c r="H595" t="str">
        <f t="shared" si="87"/>
        <v/>
      </c>
      <c r="K595" t="str">
        <f t="shared" si="88"/>
        <v/>
      </c>
      <c r="N595" t="str">
        <f t="shared" si="89"/>
        <v/>
      </c>
      <c r="P595" t="str">
        <f t="shared" si="90"/>
        <v/>
      </c>
      <c r="Q595" s="4" t="str">
        <f t="shared" si="91"/>
        <v/>
      </c>
      <c r="R595" t="str">
        <f t="shared" si="92"/>
        <v/>
      </c>
      <c r="S595" t="str">
        <f t="shared" si="93"/>
        <v/>
      </c>
      <c r="T595" t="str">
        <f>IF(C595="","",InventoryTable[[#This Row],[Profit per Unit]]*InventoryTable[[#This Row],[Total Pieces]])</f>
        <v/>
      </c>
      <c r="U595" t="str">
        <f t="shared" si="94"/>
        <v/>
      </c>
      <c r="V595" t="str">
        <f>IF(C595="","",H595-InventoryTable[[#This Row],[Units Sold]])</f>
        <v/>
      </c>
      <c r="W595" t="str">
        <f t="shared" si="95"/>
        <v/>
      </c>
      <c r="X595" t="str">
        <f t="shared" si="96"/>
        <v/>
      </c>
      <c r="Y595" t="str">
        <f>IF(C595="","",IF(InventoryTable[[#This Row],[Stock Balance]]&lt;=0,"Sold Out",IF((InventoryTable[[#This Row],[Stock Balance]]/InventoryTable[[#This Row],[Total Pieces]])&lt;=0.25,"Low on Stocks","Available")))</f>
        <v/>
      </c>
    </row>
    <row r="596" spans="1:25" x14ac:dyDescent="0.3">
      <c r="A596" t="str">
        <f>IF(C596="","",_xlfn.CONCAT(LEFT(InventoryTable[[#This Row],[Category]],1),InventoryTable[[#This Row],[Product Pricing Type]],ROW()))</f>
        <v/>
      </c>
      <c r="H596" t="str">
        <f t="shared" si="87"/>
        <v/>
      </c>
      <c r="K596" t="str">
        <f t="shared" si="88"/>
        <v/>
      </c>
      <c r="N596" t="str">
        <f t="shared" si="89"/>
        <v/>
      </c>
      <c r="P596" t="str">
        <f t="shared" si="90"/>
        <v/>
      </c>
      <c r="Q596" s="4" t="str">
        <f t="shared" si="91"/>
        <v/>
      </c>
      <c r="R596" t="str">
        <f t="shared" si="92"/>
        <v/>
      </c>
      <c r="S596" t="str">
        <f t="shared" si="93"/>
        <v/>
      </c>
      <c r="T596" t="str">
        <f>IF(C596="","",InventoryTable[[#This Row],[Profit per Unit]]*InventoryTable[[#This Row],[Total Pieces]])</f>
        <v/>
      </c>
      <c r="U596" t="str">
        <f t="shared" si="94"/>
        <v/>
      </c>
      <c r="V596" t="str">
        <f>IF(C596="","",H596-InventoryTable[[#This Row],[Units Sold]])</f>
        <v/>
      </c>
      <c r="W596" t="str">
        <f t="shared" si="95"/>
        <v/>
      </c>
      <c r="X596" t="str">
        <f t="shared" si="96"/>
        <v/>
      </c>
      <c r="Y596" t="str">
        <f>IF(C596="","",IF(InventoryTable[[#This Row],[Stock Balance]]&lt;=0,"Sold Out",IF((InventoryTable[[#This Row],[Stock Balance]]/InventoryTable[[#This Row],[Total Pieces]])&lt;=0.25,"Low on Stocks","Available")))</f>
        <v/>
      </c>
    </row>
    <row r="597" spans="1:25" x14ac:dyDescent="0.3">
      <c r="A597" t="str">
        <f>IF(C597="","",_xlfn.CONCAT(LEFT(InventoryTable[[#This Row],[Category]],1),InventoryTable[[#This Row],[Product Pricing Type]],ROW()))</f>
        <v/>
      </c>
      <c r="H597" t="str">
        <f t="shared" si="87"/>
        <v/>
      </c>
      <c r="K597" t="str">
        <f t="shared" si="88"/>
        <v/>
      </c>
      <c r="N597" t="str">
        <f t="shared" si="89"/>
        <v/>
      </c>
      <c r="P597" t="str">
        <f t="shared" si="90"/>
        <v/>
      </c>
      <c r="Q597" s="4" t="str">
        <f t="shared" si="91"/>
        <v/>
      </c>
      <c r="R597" t="str">
        <f t="shared" si="92"/>
        <v/>
      </c>
      <c r="S597" t="str">
        <f t="shared" si="93"/>
        <v/>
      </c>
      <c r="T597" t="str">
        <f>IF(C597="","",InventoryTable[[#This Row],[Profit per Unit]]*InventoryTable[[#This Row],[Total Pieces]])</f>
        <v/>
      </c>
      <c r="U597" t="str">
        <f t="shared" si="94"/>
        <v/>
      </c>
      <c r="V597" t="str">
        <f>IF(C597="","",H597-InventoryTable[[#This Row],[Units Sold]])</f>
        <v/>
      </c>
      <c r="W597" t="str">
        <f t="shared" si="95"/>
        <v/>
      </c>
      <c r="X597" t="str">
        <f t="shared" si="96"/>
        <v/>
      </c>
      <c r="Y597" t="str">
        <f>IF(C597="","",IF(InventoryTable[[#This Row],[Stock Balance]]&lt;=0,"Sold Out",IF((InventoryTable[[#This Row],[Stock Balance]]/InventoryTable[[#This Row],[Total Pieces]])&lt;=0.25,"Low on Stocks","Available")))</f>
        <v/>
      </c>
    </row>
    <row r="598" spans="1:25" x14ac:dyDescent="0.3">
      <c r="A598" t="str">
        <f>IF(C598="","",_xlfn.CONCAT(LEFT(InventoryTable[[#This Row],[Category]],1),InventoryTable[[#This Row],[Product Pricing Type]],ROW()))</f>
        <v/>
      </c>
      <c r="H598" t="str">
        <f t="shared" si="87"/>
        <v/>
      </c>
      <c r="K598" t="str">
        <f t="shared" si="88"/>
        <v/>
      </c>
      <c r="N598" t="str">
        <f t="shared" si="89"/>
        <v/>
      </c>
      <c r="P598" t="str">
        <f t="shared" si="90"/>
        <v/>
      </c>
      <c r="Q598" s="4" t="str">
        <f t="shared" si="91"/>
        <v/>
      </c>
      <c r="R598" t="str">
        <f t="shared" si="92"/>
        <v/>
      </c>
      <c r="S598" t="str">
        <f t="shared" si="93"/>
        <v/>
      </c>
      <c r="T598" t="str">
        <f>IF(C598="","",InventoryTable[[#This Row],[Profit per Unit]]*InventoryTable[[#This Row],[Total Pieces]])</f>
        <v/>
      </c>
      <c r="U598" t="str">
        <f t="shared" si="94"/>
        <v/>
      </c>
      <c r="V598" t="str">
        <f>IF(C598="","",H598-InventoryTable[[#This Row],[Units Sold]])</f>
        <v/>
      </c>
      <c r="W598" t="str">
        <f t="shared" si="95"/>
        <v/>
      </c>
      <c r="X598" t="str">
        <f t="shared" si="96"/>
        <v/>
      </c>
      <c r="Y598" t="str">
        <f>IF(C598="","",IF(InventoryTable[[#This Row],[Stock Balance]]&lt;=0,"Sold Out",IF((InventoryTable[[#This Row],[Stock Balance]]/InventoryTable[[#This Row],[Total Pieces]])&lt;=0.25,"Low on Stocks","Available")))</f>
        <v/>
      </c>
    </row>
    <row r="599" spans="1:25" x14ac:dyDescent="0.3">
      <c r="A599" t="str">
        <f>IF(C599="","",_xlfn.CONCAT(LEFT(InventoryTable[[#This Row],[Category]],1),InventoryTable[[#This Row],[Product Pricing Type]],ROW()))</f>
        <v/>
      </c>
      <c r="H599" t="str">
        <f t="shared" si="87"/>
        <v/>
      </c>
      <c r="K599" t="str">
        <f t="shared" si="88"/>
        <v/>
      </c>
      <c r="N599" t="str">
        <f t="shared" si="89"/>
        <v/>
      </c>
      <c r="P599" t="str">
        <f t="shared" si="90"/>
        <v/>
      </c>
      <c r="Q599" s="4" t="str">
        <f t="shared" si="91"/>
        <v/>
      </c>
      <c r="R599" t="str">
        <f t="shared" si="92"/>
        <v/>
      </c>
      <c r="S599" t="str">
        <f t="shared" si="93"/>
        <v/>
      </c>
      <c r="T599" t="str">
        <f>IF(C599="","",InventoryTable[[#This Row],[Profit per Unit]]*InventoryTable[[#This Row],[Total Pieces]])</f>
        <v/>
      </c>
      <c r="U599" t="str">
        <f t="shared" si="94"/>
        <v/>
      </c>
      <c r="V599" t="str">
        <f>IF(C599="","",H599-InventoryTable[[#This Row],[Units Sold]])</f>
        <v/>
      </c>
      <c r="W599" t="str">
        <f t="shared" si="95"/>
        <v/>
      </c>
      <c r="X599" t="str">
        <f t="shared" si="96"/>
        <v/>
      </c>
      <c r="Y599" t="str">
        <f>IF(C599="","",IF(InventoryTable[[#This Row],[Stock Balance]]&lt;=0,"Sold Out",IF((InventoryTable[[#This Row],[Stock Balance]]/InventoryTable[[#This Row],[Total Pieces]])&lt;=0.25,"Low on Stocks","Available")))</f>
        <v/>
      </c>
    </row>
    <row r="600" spans="1:25" x14ac:dyDescent="0.3">
      <c r="A600" t="str">
        <f>IF(C600="","",_xlfn.CONCAT(LEFT(InventoryTable[[#This Row],[Category]],1),InventoryTable[[#This Row],[Product Pricing Type]],ROW()))</f>
        <v/>
      </c>
      <c r="H600" t="str">
        <f t="shared" si="87"/>
        <v/>
      </c>
      <c r="K600" t="str">
        <f t="shared" si="88"/>
        <v/>
      </c>
      <c r="N600" t="str">
        <f t="shared" si="89"/>
        <v/>
      </c>
      <c r="P600" t="str">
        <f t="shared" si="90"/>
        <v/>
      </c>
      <c r="Q600" s="4" t="str">
        <f t="shared" si="91"/>
        <v/>
      </c>
      <c r="R600" t="str">
        <f t="shared" si="92"/>
        <v/>
      </c>
      <c r="S600" t="str">
        <f t="shared" si="93"/>
        <v/>
      </c>
      <c r="T600" t="str">
        <f>IF(C600="","",InventoryTable[[#This Row],[Profit per Unit]]*InventoryTable[[#This Row],[Total Pieces]])</f>
        <v/>
      </c>
      <c r="U600" t="str">
        <f t="shared" si="94"/>
        <v/>
      </c>
      <c r="V600" t="str">
        <f>IF(C600="","",H600-InventoryTable[[#This Row],[Units Sold]])</f>
        <v/>
      </c>
      <c r="W600" t="str">
        <f t="shared" si="95"/>
        <v/>
      </c>
      <c r="X600" t="str">
        <f t="shared" si="96"/>
        <v/>
      </c>
      <c r="Y600" t="str">
        <f>IF(C600="","",IF(InventoryTable[[#This Row],[Stock Balance]]&lt;=0,"Sold Out",IF((InventoryTable[[#This Row],[Stock Balance]]/InventoryTable[[#This Row],[Total Pieces]])&lt;=0.25,"Low on Stocks","Available")))</f>
        <v/>
      </c>
    </row>
    <row r="601" spans="1:25" x14ac:dyDescent="0.3">
      <c r="A601" t="str">
        <f>IF(C601="","",_xlfn.CONCAT(LEFT(InventoryTable[[#This Row],[Category]],1),InventoryTable[[#This Row],[Product Pricing Type]],ROW()))</f>
        <v/>
      </c>
      <c r="H601" t="str">
        <f t="shared" si="87"/>
        <v/>
      </c>
      <c r="K601" t="str">
        <f t="shared" si="88"/>
        <v/>
      </c>
      <c r="N601" t="str">
        <f t="shared" si="89"/>
        <v/>
      </c>
      <c r="P601" t="str">
        <f t="shared" si="90"/>
        <v/>
      </c>
      <c r="Q601" s="4" t="str">
        <f t="shared" si="91"/>
        <v/>
      </c>
      <c r="R601" t="str">
        <f t="shared" si="92"/>
        <v/>
      </c>
      <c r="S601" t="str">
        <f t="shared" si="93"/>
        <v/>
      </c>
      <c r="T601" t="str">
        <f>IF(C601="","",InventoryTable[[#This Row],[Profit per Unit]]*InventoryTable[[#This Row],[Total Pieces]])</f>
        <v/>
      </c>
      <c r="U601" t="str">
        <f t="shared" si="94"/>
        <v/>
      </c>
      <c r="V601" t="str">
        <f>IF(C601="","",H601-InventoryTable[[#This Row],[Units Sold]])</f>
        <v/>
      </c>
      <c r="W601" t="str">
        <f t="shared" si="95"/>
        <v/>
      </c>
      <c r="X601" t="str">
        <f t="shared" si="96"/>
        <v/>
      </c>
      <c r="Y601" t="str">
        <f>IF(C601="","",IF(InventoryTable[[#This Row],[Stock Balance]]&lt;=0,"Sold Out",IF((InventoryTable[[#This Row],[Stock Balance]]/InventoryTable[[#This Row],[Total Pieces]])&lt;=0.25,"Low on Stocks","Available")))</f>
        <v/>
      </c>
    </row>
    <row r="602" spans="1:25" x14ac:dyDescent="0.3">
      <c r="A602" t="str">
        <f>IF(C602="","",_xlfn.CONCAT(LEFT(InventoryTable[[#This Row],[Category]],1),InventoryTable[[#This Row],[Product Pricing Type]],ROW()))</f>
        <v/>
      </c>
      <c r="H602" t="str">
        <f t="shared" si="87"/>
        <v/>
      </c>
      <c r="K602" t="str">
        <f t="shared" si="88"/>
        <v/>
      </c>
      <c r="N602" t="str">
        <f t="shared" si="89"/>
        <v/>
      </c>
      <c r="P602" t="str">
        <f t="shared" si="90"/>
        <v/>
      </c>
      <c r="Q602" s="4" t="str">
        <f t="shared" si="91"/>
        <v/>
      </c>
      <c r="R602" t="str">
        <f t="shared" si="92"/>
        <v/>
      </c>
      <c r="S602" t="str">
        <f t="shared" si="93"/>
        <v/>
      </c>
      <c r="T602" t="str">
        <f>IF(C602="","",InventoryTable[[#This Row],[Profit per Unit]]*InventoryTable[[#This Row],[Total Pieces]])</f>
        <v/>
      </c>
      <c r="U602" t="str">
        <f t="shared" si="94"/>
        <v/>
      </c>
      <c r="V602" t="str">
        <f>IF(C602="","",H602-InventoryTable[[#This Row],[Units Sold]])</f>
        <v/>
      </c>
      <c r="W602" t="str">
        <f t="shared" si="95"/>
        <v/>
      </c>
      <c r="X602" t="str">
        <f t="shared" si="96"/>
        <v/>
      </c>
      <c r="Y602" t="str">
        <f>IF(C602="","",IF(InventoryTable[[#This Row],[Stock Balance]]&lt;=0,"Sold Out",IF((InventoryTable[[#This Row],[Stock Balance]]/InventoryTable[[#This Row],[Total Pieces]])&lt;=0.25,"Low on Stocks","Available")))</f>
        <v/>
      </c>
    </row>
    <row r="603" spans="1:25" x14ac:dyDescent="0.3">
      <c r="A603" t="str">
        <f>IF(C603="","",_xlfn.CONCAT(LEFT(InventoryTable[[#This Row],[Category]],1),InventoryTable[[#This Row],[Product Pricing Type]],ROW()))</f>
        <v/>
      </c>
      <c r="H603" t="str">
        <f t="shared" si="87"/>
        <v/>
      </c>
      <c r="K603" t="str">
        <f t="shared" si="88"/>
        <v/>
      </c>
      <c r="N603" t="str">
        <f t="shared" si="89"/>
        <v/>
      </c>
      <c r="P603" t="str">
        <f t="shared" si="90"/>
        <v/>
      </c>
      <c r="Q603" s="4" t="str">
        <f t="shared" si="91"/>
        <v/>
      </c>
      <c r="R603" t="str">
        <f t="shared" si="92"/>
        <v/>
      </c>
      <c r="S603" t="str">
        <f t="shared" si="93"/>
        <v/>
      </c>
      <c r="T603" t="str">
        <f>IF(C603="","",InventoryTable[[#This Row],[Profit per Unit]]*InventoryTable[[#This Row],[Total Pieces]])</f>
        <v/>
      </c>
      <c r="U603" t="str">
        <f t="shared" si="94"/>
        <v/>
      </c>
      <c r="V603" t="str">
        <f>IF(C603="","",H603-InventoryTable[[#This Row],[Units Sold]])</f>
        <v/>
      </c>
      <c r="W603" t="str">
        <f t="shared" si="95"/>
        <v/>
      </c>
      <c r="X603" t="str">
        <f t="shared" si="96"/>
        <v/>
      </c>
      <c r="Y603" t="str">
        <f>IF(C603="","",IF(InventoryTable[[#This Row],[Stock Balance]]&lt;=0,"Sold Out",IF((InventoryTable[[#This Row],[Stock Balance]]/InventoryTable[[#This Row],[Total Pieces]])&lt;=0.25,"Low on Stocks","Available")))</f>
        <v/>
      </c>
    </row>
    <row r="604" spans="1:25" x14ac:dyDescent="0.3">
      <c r="A604" t="str">
        <f>IF(C604="","",_xlfn.CONCAT(LEFT(InventoryTable[[#This Row],[Category]],1),InventoryTable[[#This Row],[Product Pricing Type]],ROW()))</f>
        <v/>
      </c>
      <c r="H604" t="str">
        <f t="shared" si="87"/>
        <v/>
      </c>
      <c r="K604" t="str">
        <f t="shared" si="88"/>
        <v/>
      </c>
      <c r="N604" t="str">
        <f t="shared" si="89"/>
        <v/>
      </c>
      <c r="P604" t="str">
        <f t="shared" si="90"/>
        <v/>
      </c>
      <c r="Q604" s="4" t="str">
        <f t="shared" si="91"/>
        <v/>
      </c>
      <c r="R604" t="str">
        <f t="shared" si="92"/>
        <v/>
      </c>
      <c r="S604" t="str">
        <f t="shared" si="93"/>
        <v/>
      </c>
      <c r="T604" t="str">
        <f>IF(C604="","",InventoryTable[[#This Row],[Profit per Unit]]*InventoryTable[[#This Row],[Total Pieces]])</f>
        <v/>
      </c>
      <c r="U604" t="str">
        <f t="shared" si="94"/>
        <v/>
      </c>
      <c r="V604" t="str">
        <f>IF(C604="","",H604-InventoryTable[[#This Row],[Units Sold]])</f>
        <v/>
      </c>
      <c r="W604" t="str">
        <f t="shared" si="95"/>
        <v/>
      </c>
      <c r="X604" t="str">
        <f t="shared" si="96"/>
        <v/>
      </c>
      <c r="Y604" t="str">
        <f>IF(C604="","",IF(InventoryTable[[#This Row],[Stock Balance]]&lt;=0,"Sold Out",IF((InventoryTable[[#This Row],[Stock Balance]]/InventoryTable[[#This Row],[Total Pieces]])&lt;=0.25,"Low on Stocks","Available")))</f>
        <v/>
      </c>
    </row>
    <row r="605" spans="1:25" x14ac:dyDescent="0.3">
      <c r="A605" t="str">
        <f>IF(C605="","",_xlfn.CONCAT(LEFT(InventoryTable[[#This Row],[Category]],1),InventoryTable[[#This Row],[Product Pricing Type]],ROW()))</f>
        <v/>
      </c>
      <c r="H605" t="str">
        <f t="shared" si="87"/>
        <v/>
      </c>
      <c r="K605" t="str">
        <f t="shared" si="88"/>
        <v/>
      </c>
      <c r="N605" t="str">
        <f t="shared" si="89"/>
        <v/>
      </c>
      <c r="P605" t="str">
        <f t="shared" si="90"/>
        <v/>
      </c>
      <c r="Q605" s="4" t="str">
        <f t="shared" si="91"/>
        <v/>
      </c>
      <c r="R605" t="str">
        <f t="shared" si="92"/>
        <v/>
      </c>
      <c r="S605" t="str">
        <f t="shared" si="93"/>
        <v/>
      </c>
      <c r="T605" t="str">
        <f>IF(C605="","",InventoryTable[[#This Row],[Profit per Unit]]*InventoryTable[[#This Row],[Total Pieces]])</f>
        <v/>
      </c>
      <c r="U605" t="str">
        <f t="shared" si="94"/>
        <v/>
      </c>
      <c r="V605" t="str">
        <f>IF(C605="","",H605-InventoryTable[[#This Row],[Units Sold]])</f>
        <v/>
      </c>
      <c r="W605" t="str">
        <f t="shared" si="95"/>
        <v/>
      </c>
      <c r="X605" t="str">
        <f t="shared" si="96"/>
        <v/>
      </c>
      <c r="Y605" t="str">
        <f>IF(C605="","",IF(InventoryTable[[#This Row],[Stock Balance]]&lt;=0,"Sold Out",IF((InventoryTable[[#This Row],[Stock Balance]]/InventoryTable[[#This Row],[Total Pieces]])&lt;=0.25,"Low on Stocks","Available")))</f>
        <v/>
      </c>
    </row>
    <row r="606" spans="1:25" x14ac:dyDescent="0.3">
      <c r="A606" t="str">
        <f>IF(C606="","",_xlfn.CONCAT(LEFT(InventoryTable[[#This Row],[Category]],1),InventoryTable[[#This Row],[Product Pricing Type]],ROW()))</f>
        <v/>
      </c>
      <c r="H606" t="str">
        <f t="shared" si="87"/>
        <v/>
      </c>
      <c r="K606" t="str">
        <f t="shared" si="88"/>
        <v/>
      </c>
      <c r="N606" t="str">
        <f t="shared" si="89"/>
        <v/>
      </c>
      <c r="P606" t="str">
        <f t="shared" si="90"/>
        <v/>
      </c>
      <c r="Q606" s="4" t="str">
        <f t="shared" si="91"/>
        <v/>
      </c>
      <c r="R606" t="str">
        <f t="shared" si="92"/>
        <v/>
      </c>
      <c r="S606" t="str">
        <f t="shared" si="93"/>
        <v/>
      </c>
      <c r="T606" t="str">
        <f>IF(C606="","",InventoryTable[[#This Row],[Profit per Unit]]*InventoryTable[[#This Row],[Total Pieces]])</f>
        <v/>
      </c>
      <c r="U606" t="str">
        <f t="shared" si="94"/>
        <v/>
      </c>
      <c r="V606" t="str">
        <f>IF(C606="","",H606-InventoryTable[[#This Row],[Units Sold]])</f>
        <v/>
      </c>
      <c r="W606" t="str">
        <f t="shared" si="95"/>
        <v/>
      </c>
      <c r="X606" t="str">
        <f t="shared" si="96"/>
        <v/>
      </c>
      <c r="Y606" t="str">
        <f>IF(C606="","",IF(InventoryTable[[#This Row],[Stock Balance]]&lt;=0,"Sold Out",IF((InventoryTable[[#This Row],[Stock Balance]]/InventoryTable[[#This Row],[Total Pieces]])&lt;=0.25,"Low on Stocks","Available")))</f>
        <v/>
      </c>
    </row>
    <row r="607" spans="1:25" x14ac:dyDescent="0.3">
      <c r="A607" t="str">
        <f>IF(C607="","",_xlfn.CONCAT(LEFT(InventoryTable[[#This Row],[Category]],1),InventoryTable[[#This Row],[Product Pricing Type]],ROW()))</f>
        <v/>
      </c>
      <c r="H607" t="str">
        <f t="shared" si="87"/>
        <v/>
      </c>
      <c r="K607" t="str">
        <f t="shared" si="88"/>
        <v/>
      </c>
      <c r="N607" t="str">
        <f t="shared" si="89"/>
        <v/>
      </c>
      <c r="P607" t="str">
        <f t="shared" si="90"/>
        <v/>
      </c>
      <c r="Q607" s="4" t="str">
        <f t="shared" si="91"/>
        <v/>
      </c>
      <c r="R607" t="str">
        <f t="shared" si="92"/>
        <v/>
      </c>
      <c r="S607" t="str">
        <f t="shared" si="93"/>
        <v/>
      </c>
      <c r="T607" t="str">
        <f>IF(C607="","",InventoryTable[[#This Row],[Profit per Unit]]*InventoryTable[[#This Row],[Total Pieces]])</f>
        <v/>
      </c>
      <c r="U607" t="str">
        <f t="shared" si="94"/>
        <v/>
      </c>
      <c r="V607" t="str">
        <f>IF(C607="","",H607-InventoryTable[[#This Row],[Units Sold]])</f>
        <v/>
      </c>
      <c r="W607" t="str">
        <f t="shared" si="95"/>
        <v/>
      </c>
      <c r="X607" t="str">
        <f t="shared" si="96"/>
        <v/>
      </c>
      <c r="Y607" t="str">
        <f>IF(C607="","",IF(InventoryTable[[#This Row],[Stock Balance]]&lt;=0,"Sold Out",IF((InventoryTable[[#This Row],[Stock Balance]]/InventoryTable[[#This Row],[Total Pieces]])&lt;=0.25,"Low on Stocks","Available")))</f>
        <v/>
      </c>
    </row>
    <row r="608" spans="1:25" x14ac:dyDescent="0.3">
      <c r="A608" t="str">
        <f>IF(C608="","",_xlfn.CONCAT(LEFT(InventoryTable[[#This Row],[Category]],1),InventoryTable[[#This Row],[Product Pricing Type]],ROW()))</f>
        <v/>
      </c>
      <c r="H608" t="str">
        <f t="shared" si="87"/>
        <v/>
      </c>
      <c r="K608" t="str">
        <f t="shared" si="88"/>
        <v/>
      </c>
      <c r="N608" t="str">
        <f t="shared" si="89"/>
        <v/>
      </c>
      <c r="P608" t="str">
        <f t="shared" si="90"/>
        <v/>
      </c>
      <c r="Q608" s="4" t="str">
        <f t="shared" si="91"/>
        <v/>
      </c>
      <c r="R608" t="str">
        <f t="shared" si="92"/>
        <v/>
      </c>
      <c r="S608" t="str">
        <f t="shared" si="93"/>
        <v/>
      </c>
      <c r="T608" t="str">
        <f>IF(C608="","",InventoryTable[[#This Row],[Profit per Unit]]*InventoryTable[[#This Row],[Total Pieces]])</f>
        <v/>
      </c>
      <c r="U608" t="str">
        <f t="shared" si="94"/>
        <v/>
      </c>
      <c r="V608" t="str">
        <f>IF(C608="","",H608-InventoryTable[[#This Row],[Units Sold]])</f>
        <v/>
      </c>
      <c r="W608" t="str">
        <f t="shared" si="95"/>
        <v/>
      </c>
      <c r="X608" t="str">
        <f t="shared" si="96"/>
        <v/>
      </c>
      <c r="Y608" t="str">
        <f>IF(C608="","",IF(InventoryTable[[#This Row],[Stock Balance]]&lt;=0,"Sold Out",IF((InventoryTable[[#This Row],[Stock Balance]]/InventoryTable[[#This Row],[Total Pieces]])&lt;=0.25,"Low on Stocks","Available")))</f>
        <v/>
      </c>
    </row>
    <row r="609" spans="1:25" x14ac:dyDescent="0.3">
      <c r="A609" t="str">
        <f>IF(C609="","",_xlfn.CONCAT(LEFT(InventoryTable[[#This Row],[Category]],1),InventoryTable[[#This Row],[Product Pricing Type]],ROW()))</f>
        <v/>
      </c>
      <c r="H609" t="str">
        <f t="shared" ref="H609:H672" si="97">IF(C609="","",G609*F609)</f>
        <v/>
      </c>
      <c r="K609" t="str">
        <f t="shared" ref="K609:K672" si="98">IF(C609="","",IF(J609=1,I609/H609,I609*G609*F609))</f>
        <v/>
      </c>
      <c r="N609" t="str">
        <f t="shared" ref="N609:N672" si="99">IF(C609="","",IF(J609=1,K609+(K609*M609),I609+(I609*M609)))</f>
        <v/>
      </c>
      <c r="P609" t="str">
        <f t="shared" ref="P609:P672" si="100">IF(C609="","",N609+(N609*O609))</f>
        <v/>
      </c>
      <c r="Q609" s="4" t="str">
        <f t="shared" ref="Q609:Q672" si="101">IF(C609="","",ROUNDUP(P609,0))</f>
        <v/>
      </c>
      <c r="R609" t="str">
        <f t="shared" ref="R609:R672" si="102">IF(C609="","")</f>
        <v/>
      </c>
      <c r="S609" t="str">
        <f t="shared" ref="S609:S672" si="103">IF(C609="","",IF(COUNTIF(C609,"*Fixed*")&gt;0,(K609-R609)/H609,IF(J609=1,Q609-K609,Q609-I609)))</f>
        <v/>
      </c>
      <c r="T609" t="str">
        <f>IF(C609="","",InventoryTable[[#This Row],[Profit per Unit]]*InventoryTable[[#This Row],[Total Pieces]])</f>
        <v/>
      </c>
      <c r="U609" t="str">
        <f t="shared" si="94"/>
        <v/>
      </c>
      <c r="V609" t="str">
        <f>IF(C609="","",H609-InventoryTable[[#This Row],[Units Sold]])</f>
        <v/>
      </c>
      <c r="W609" t="str">
        <f t="shared" si="95"/>
        <v/>
      </c>
      <c r="X609" t="str">
        <f t="shared" si="96"/>
        <v/>
      </c>
      <c r="Y609" t="str">
        <f>IF(C609="","",IF(InventoryTable[[#This Row],[Stock Balance]]&lt;=0,"Sold Out",IF((InventoryTable[[#This Row],[Stock Balance]]/InventoryTable[[#This Row],[Total Pieces]])&lt;=0.25,"Low on Stocks","Available")))</f>
        <v/>
      </c>
    </row>
    <row r="610" spans="1:25" x14ac:dyDescent="0.3">
      <c r="A610" t="str">
        <f>IF(C610="","",_xlfn.CONCAT(LEFT(InventoryTable[[#This Row],[Category]],1),InventoryTable[[#This Row],[Product Pricing Type]],ROW()))</f>
        <v/>
      </c>
      <c r="H610" t="str">
        <f t="shared" si="97"/>
        <v/>
      </c>
      <c r="K610" t="str">
        <f t="shared" si="98"/>
        <v/>
      </c>
      <c r="N610" t="str">
        <f t="shared" si="99"/>
        <v/>
      </c>
      <c r="P610" t="str">
        <f t="shared" si="100"/>
        <v/>
      </c>
      <c r="Q610" s="4" t="str">
        <f t="shared" si="101"/>
        <v/>
      </c>
      <c r="R610" t="str">
        <f t="shared" si="102"/>
        <v/>
      </c>
      <c r="S610" t="str">
        <f t="shared" si="103"/>
        <v/>
      </c>
      <c r="T610" t="str">
        <f>IF(C610="","",InventoryTable[[#This Row],[Profit per Unit]]*InventoryTable[[#This Row],[Total Pieces]])</f>
        <v/>
      </c>
      <c r="U610" t="str">
        <f t="shared" si="94"/>
        <v/>
      </c>
      <c r="V610" t="str">
        <f>IF(C610="","",H610-InventoryTable[[#This Row],[Units Sold]])</f>
        <v/>
      </c>
      <c r="W610" t="str">
        <f t="shared" si="95"/>
        <v/>
      </c>
      <c r="X610" t="str">
        <f t="shared" si="96"/>
        <v/>
      </c>
      <c r="Y610" t="str">
        <f>IF(C610="","",IF(InventoryTable[[#This Row],[Stock Balance]]&lt;=0,"Sold Out",IF((InventoryTable[[#This Row],[Stock Balance]]/InventoryTable[[#This Row],[Total Pieces]])&lt;=0.25,"Low on Stocks","Available")))</f>
        <v/>
      </c>
    </row>
    <row r="611" spans="1:25" x14ac:dyDescent="0.3">
      <c r="A611" t="str">
        <f>IF(C611="","",_xlfn.CONCAT(LEFT(InventoryTable[[#This Row],[Category]],1),InventoryTable[[#This Row],[Product Pricing Type]],ROW()))</f>
        <v/>
      </c>
      <c r="H611" t="str">
        <f t="shared" si="97"/>
        <v/>
      </c>
      <c r="K611" t="str">
        <f t="shared" si="98"/>
        <v/>
      </c>
      <c r="N611" t="str">
        <f t="shared" si="99"/>
        <v/>
      </c>
      <c r="P611" t="str">
        <f t="shared" si="100"/>
        <v/>
      </c>
      <c r="Q611" s="4" t="str">
        <f t="shared" si="101"/>
        <v/>
      </c>
      <c r="R611" t="str">
        <f t="shared" si="102"/>
        <v/>
      </c>
      <c r="S611" t="str">
        <f t="shared" si="103"/>
        <v/>
      </c>
      <c r="T611" t="str">
        <f>IF(C611="","",InventoryTable[[#This Row],[Profit per Unit]]*InventoryTable[[#This Row],[Total Pieces]])</f>
        <v/>
      </c>
      <c r="U611" t="str">
        <f t="shared" si="94"/>
        <v/>
      </c>
      <c r="V611" t="str">
        <f>IF(C611="","",H611-InventoryTable[[#This Row],[Units Sold]])</f>
        <v/>
      </c>
      <c r="W611" t="str">
        <f t="shared" si="95"/>
        <v/>
      </c>
      <c r="X611" t="str">
        <f t="shared" si="96"/>
        <v/>
      </c>
      <c r="Y611" t="str">
        <f>IF(C611="","",IF(InventoryTable[[#This Row],[Stock Balance]]&lt;=0,"Sold Out",IF((InventoryTable[[#This Row],[Stock Balance]]/InventoryTable[[#This Row],[Total Pieces]])&lt;=0.25,"Low on Stocks","Available")))</f>
        <v/>
      </c>
    </row>
    <row r="612" spans="1:25" x14ac:dyDescent="0.3">
      <c r="A612" t="str">
        <f>IF(C612="","",_xlfn.CONCAT(LEFT(InventoryTable[[#This Row],[Category]],1),InventoryTable[[#This Row],[Product Pricing Type]],ROW()))</f>
        <v/>
      </c>
      <c r="H612" t="str">
        <f t="shared" si="97"/>
        <v/>
      </c>
      <c r="K612" t="str">
        <f t="shared" si="98"/>
        <v/>
      </c>
      <c r="N612" t="str">
        <f t="shared" si="99"/>
        <v/>
      </c>
      <c r="P612" t="str">
        <f t="shared" si="100"/>
        <v/>
      </c>
      <c r="Q612" s="4" t="str">
        <f t="shared" si="101"/>
        <v/>
      </c>
      <c r="R612" t="str">
        <f t="shared" si="102"/>
        <v/>
      </c>
      <c r="S612" t="str">
        <f t="shared" si="103"/>
        <v/>
      </c>
      <c r="T612" t="str">
        <f>IF(C612="","",InventoryTable[[#This Row],[Profit per Unit]]*InventoryTable[[#This Row],[Total Pieces]])</f>
        <v/>
      </c>
      <c r="U612" t="str">
        <f t="shared" si="94"/>
        <v/>
      </c>
      <c r="V612" t="str">
        <f>IF(C612="","",H612-InventoryTable[[#This Row],[Units Sold]])</f>
        <v/>
      </c>
      <c r="W612" t="str">
        <f t="shared" si="95"/>
        <v/>
      </c>
      <c r="X612" t="str">
        <f t="shared" si="96"/>
        <v/>
      </c>
      <c r="Y612" t="str">
        <f>IF(C612="","",IF(InventoryTable[[#This Row],[Stock Balance]]&lt;=0,"Sold Out",IF((InventoryTable[[#This Row],[Stock Balance]]/InventoryTable[[#This Row],[Total Pieces]])&lt;=0.25,"Low on Stocks","Available")))</f>
        <v/>
      </c>
    </row>
    <row r="613" spans="1:25" x14ac:dyDescent="0.3">
      <c r="A613" t="str">
        <f>IF(C613="","",_xlfn.CONCAT(LEFT(InventoryTable[[#This Row],[Category]],1),InventoryTable[[#This Row],[Product Pricing Type]],ROW()))</f>
        <v/>
      </c>
      <c r="H613" t="str">
        <f t="shared" si="97"/>
        <v/>
      </c>
      <c r="K613" t="str">
        <f t="shared" si="98"/>
        <v/>
      </c>
      <c r="N613" t="str">
        <f t="shared" si="99"/>
        <v/>
      </c>
      <c r="P613" t="str">
        <f t="shared" si="100"/>
        <v/>
      </c>
      <c r="Q613" s="4" t="str">
        <f t="shared" si="101"/>
        <v/>
      </c>
      <c r="R613" t="str">
        <f t="shared" si="102"/>
        <v/>
      </c>
      <c r="S613" t="str">
        <f t="shared" si="103"/>
        <v/>
      </c>
      <c r="T613" t="str">
        <f>IF(C613="","",InventoryTable[[#This Row],[Profit per Unit]]*InventoryTable[[#This Row],[Total Pieces]])</f>
        <v/>
      </c>
      <c r="U613" t="str">
        <f t="shared" si="94"/>
        <v/>
      </c>
      <c r="V613" t="str">
        <f>IF(C613="","",H613-InventoryTable[[#This Row],[Units Sold]])</f>
        <v/>
      </c>
      <c r="W613" t="str">
        <f t="shared" si="95"/>
        <v/>
      </c>
      <c r="X613" t="str">
        <f t="shared" si="96"/>
        <v/>
      </c>
      <c r="Y613" t="str">
        <f>IF(C613="","",IF(InventoryTable[[#This Row],[Stock Balance]]&lt;=0,"Sold Out",IF((InventoryTable[[#This Row],[Stock Balance]]/InventoryTable[[#This Row],[Total Pieces]])&lt;=0.25,"Low on Stocks","Available")))</f>
        <v/>
      </c>
    </row>
    <row r="614" spans="1:25" x14ac:dyDescent="0.3">
      <c r="A614" t="str">
        <f>IF(C614="","",_xlfn.CONCAT(LEFT(InventoryTable[[#This Row],[Category]],1),InventoryTable[[#This Row],[Product Pricing Type]],ROW()))</f>
        <v/>
      </c>
      <c r="H614" t="str">
        <f t="shared" si="97"/>
        <v/>
      </c>
      <c r="K614" t="str">
        <f t="shared" si="98"/>
        <v/>
      </c>
      <c r="N614" t="str">
        <f t="shared" si="99"/>
        <v/>
      </c>
      <c r="P614" t="str">
        <f t="shared" si="100"/>
        <v/>
      </c>
      <c r="Q614" s="4" t="str">
        <f t="shared" si="101"/>
        <v/>
      </c>
      <c r="R614" t="str">
        <f t="shared" si="102"/>
        <v/>
      </c>
      <c r="S614" t="str">
        <f t="shared" si="103"/>
        <v/>
      </c>
      <c r="T614" t="str">
        <f>IF(C614="","",InventoryTable[[#This Row],[Profit per Unit]]*InventoryTable[[#This Row],[Total Pieces]])</f>
        <v/>
      </c>
      <c r="U614" t="str">
        <f t="shared" si="94"/>
        <v/>
      </c>
      <c r="V614" t="str">
        <f>IF(C614="","",H614-InventoryTable[[#This Row],[Units Sold]])</f>
        <v/>
      </c>
      <c r="W614" t="str">
        <f t="shared" si="95"/>
        <v/>
      </c>
      <c r="X614" t="str">
        <f t="shared" si="96"/>
        <v/>
      </c>
      <c r="Y614" t="str">
        <f>IF(C614="","",IF(InventoryTable[[#This Row],[Stock Balance]]&lt;=0,"Sold Out",IF((InventoryTable[[#This Row],[Stock Balance]]/InventoryTable[[#This Row],[Total Pieces]])&lt;=0.25,"Low on Stocks","Available")))</f>
        <v/>
      </c>
    </row>
    <row r="615" spans="1:25" x14ac:dyDescent="0.3">
      <c r="A615" t="str">
        <f>IF(C615="","",_xlfn.CONCAT(LEFT(InventoryTable[[#This Row],[Category]],1),InventoryTable[[#This Row],[Product Pricing Type]],ROW()))</f>
        <v/>
      </c>
      <c r="H615" t="str">
        <f t="shared" si="97"/>
        <v/>
      </c>
      <c r="K615" t="str">
        <f t="shared" si="98"/>
        <v/>
      </c>
      <c r="N615" t="str">
        <f t="shared" si="99"/>
        <v/>
      </c>
      <c r="P615" t="str">
        <f t="shared" si="100"/>
        <v/>
      </c>
      <c r="Q615" s="4" t="str">
        <f t="shared" si="101"/>
        <v/>
      </c>
      <c r="R615" t="str">
        <f t="shared" si="102"/>
        <v/>
      </c>
      <c r="S615" t="str">
        <f t="shared" si="103"/>
        <v/>
      </c>
      <c r="T615" t="str">
        <f>IF(C615="","",InventoryTable[[#This Row],[Profit per Unit]]*InventoryTable[[#This Row],[Total Pieces]])</f>
        <v/>
      </c>
      <c r="U615" t="str">
        <f t="shared" si="94"/>
        <v/>
      </c>
      <c r="V615" t="str">
        <f>IF(C615="","",H615-InventoryTable[[#This Row],[Units Sold]])</f>
        <v/>
      </c>
      <c r="W615" t="str">
        <f t="shared" si="95"/>
        <v/>
      </c>
      <c r="X615" t="str">
        <f t="shared" si="96"/>
        <v/>
      </c>
      <c r="Y615" t="str">
        <f>IF(C615="","",IF(InventoryTable[[#This Row],[Stock Balance]]&lt;=0,"Sold Out",IF((InventoryTable[[#This Row],[Stock Balance]]/InventoryTable[[#This Row],[Total Pieces]])&lt;=0.25,"Low on Stocks","Available")))</f>
        <v/>
      </c>
    </row>
    <row r="616" spans="1:25" x14ac:dyDescent="0.3">
      <c r="A616" t="str">
        <f>IF(C616="","",_xlfn.CONCAT(LEFT(InventoryTable[[#This Row],[Category]],1),InventoryTable[[#This Row],[Product Pricing Type]],ROW()))</f>
        <v/>
      </c>
      <c r="H616" t="str">
        <f t="shared" si="97"/>
        <v/>
      </c>
      <c r="K616" t="str">
        <f t="shared" si="98"/>
        <v/>
      </c>
      <c r="N616" t="str">
        <f t="shared" si="99"/>
        <v/>
      </c>
      <c r="P616" t="str">
        <f t="shared" si="100"/>
        <v/>
      </c>
      <c r="Q616" s="4" t="str">
        <f t="shared" si="101"/>
        <v/>
      </c>
      <c r="R616" t="str">
        <f t="shared" si="102"/>
        <v/>
      </c>
      <c r="S616" t="str">
        <f t="shared" si="103"/>
        <v/>
      </c>
      <c r="T616" t="str">
        <f>IF(C616="","",InventoryTable[[#This Row],[Profit per Unit]]*InventoryTable[[#This Row],[Total Pieces]])</f>
        <v/>
      </c>
      <c r="U616" t="str">
        <f t="shared" si="94"/>
        <v/>
      </c>
      <c r="V616" t="str">
        <f>IF(C616="","",H616-InventoryTable[[#This Row],[Units Sold]])</f>
        <v/>
      </c>
      <c r="W616" t="str">
        <f t="shared" si="95"/>
        <v/>
      </c>
      <c r="X616" t="str">
        <f t="shared" si="96"/>
        <v/>
      </c>
      <c r="Y616" t="str">
        <f>IF(C616="","",IF(InventoryTable[[#This Row],[Stock Balance]]&lt;=0,"Sold Out",IF((InventoryTable[[#This Row],[Stock Balance]]/InventoryTable[[#This Row],[Total Pieces]])&lt;=0.25,"Low on Stocks","Available")))</f>
        <v/>
      </c>
    </row>
    <row r="617" spans="1:25" x14ac:dyDescent="0.3">
      <c r="A617" t="str">
        <f>IF(C617="","",_xlfn.CONCAT(LEFT(InventoryTable[[#This Row],[Category]],1),InventoryTable[[#This Row],[Product Pricing Type]],ROW()))</f>
        <v/>
      </c>
      <c r="H617" t="str">
        <f t="shared" si="97"/>
        <v/>
      </c>
      <c r="K617" t="str">
        <f t="shared" si="98"/>
        <v/>
      </c>
      <c r="N617" t="str">
        <f t="shared" si="99"/>
        <v/>
      </c>
      <c r="P617" t="str">
        <f t="shared" si="100"/>
        <v/>
      </c>
      <c r="Q617" s="4" t="str">
        <f t="shared" si="101"/>
        <v/>
      </c>
      <c r="R617" t="str">
        <f t="shared" si="102"/>
        <v/>
      </c>
      <c r="S617" t="str">
        <f t="shared" si="103"/>
        <v/>
      </c>
      <c r="T617" t="str">
        <f>IF(C617="","",InventoryTable[[#This Row],[Profit per Unit]]*InventoryTable[[#This Row],[Total Pieces]])</f>
        <v/>
      </c>
      <c r="U617" t="str">
        <f t="shared" si="94"/>
        <v/>
      </c>
      <c r="V617" t="str">
        <f>IF(C617="","",H617-InventoryTable[[#This Row],[Units Sold]])</f>
        <v/>
      </c>
      <c r="W617" t="str">
        <f t="shared" si="95"/>
        <v/>
      </c>
      <c r="X617" t="str">
        <f t="shared" si="96"/>
        <v/>
      </c>
      <c r="Y617" t="str">
        <f>IF(C617="","",IF(InventoryTable[[#This Row],[Stock Balance]]&lt;=0,"Sold Out",IF((InventoryTable[[#This Row],[Stock Balance]]/InventoryTable[[#This Row],[Total Pieces]])&lt;=0.25,"Low on Stocks","Available")))</f>
        <v/>
      </c>
    </row>
    <row r="618" spans="1:25" x14ac:dyDescent="0.3">
      <c r="A618" t="str">
        <f>IF(C618="","",_xlfn.CONCAT(LEFT(InventoryTable[[#This Row],[Category]],1),InventoryTable[[#This Row],[Product Pricing Type]],ROW()))</f>
        <v/>
      </c>
      <c r="H618" t="str">
        <f t="shared" si="97"/>
        <v/>
      </c>
      <c r="K618" t="str">
        <f t="shared" si="98"/>
        <v/>
      </c>
      <c r="N618" t="str">
        <f t="shared" si="99"/>
        <v/>
      </c>
      <c r="P618" t="str">
        <f t="shared" si="100"/>
        <v/>
      </c>
      <c r="Q618" s="4" t="str">
        <f t="shared" si="101"/>
        <v/>
      </c>
      <c r="R618" t="str">
        <f t="shared" si="102"/>
        <v/>
      </c>
      <c r="S618" t="str">
        <f t="shared" si="103"/>
        <v/>
      </c>
      <c r="T618" t="str">
        <f>IF(C618="","",InventoryTable[[#This Row],[Profit per Unit]]*InventoryTable[[#This Row],[Total Pieces]])</f>
        <v/>
      </c>
      <c r="U618" t="str">
        <f t="shared" si="94"/>
        <v/>
      </c>
      <c r="V618" t="str">
        <f>IF(C618="","",H618-InventoryTable[[#This Row],[Units Sold]])</f>
        <v/>
      </c>
      <c r="W618" t="str">
        <f t="shared" si="95"/>
        <v/>
      </c>
      <c r="X618" t="str">
        <f t="shared" si="96"/>
        <v/>
      </c>
      <c r="Y618" t="str">
        <f>IF(C618="","",IF(InventoryTable[[#This Row],[Stock Balance]]&lt;=0,"Sold Out",IF((InventoryTable[[#This Row],[Stock Balance]]/InventoryTable[[#This Row],[Total Pieces]])&lt;=0.25,"Low on Stocks","Available")))</f>
        <v/>
      </c>
    </row>
    <row r="619" spans="1:25" x14ac:dyDescent="0.3">
      <c r="A619" t="str">
        <f>IF(C619="","",_xlfn.CONCAT(LEFT(InventoryTable[[#This Row],[Category]],1),InventoryTable[[#This Row],[Product Pricing Type]],ROW()))</f>
        <v/>
      </c>
      <c r="H619" t="str">
        <f t="shared" si="97"/>
        <v/>
      </c>
      <c r="K619" t="str">
        <f t="shared" si="98"/>
        <v/>
      </c>
      <c r="N619" t="str">
        <f t="shared" si="99"/>
        <v/>
      </c>
      <c r="P619" t="str">
        <f t="shared" si="100"/>
        <v/>
      </c>
      <c r="Q619" s="4" t="str">
        <f t="shared" si="101"/>
        <v/>
      </c>
      <c r="R619" t="str">
        <f t="shared" si="102"/>
        <v/>
      </c>
      <c r="S619" t="str">
        <f t="shared" si="103"/>
        <v/>
      </c>
      <c r="T619" t="str">
        <f>IF(C619="","",InventoryTable[[#This Row],[Profit per Unit]]*InventoryTable[[#This Row],[Total Pieces]])</f>
        <v/>
      </c>
      <c r="U619" t="str">
        <f t="shared" si="94"/>
        <v/>
      </c>
      <c r="V619" t="str">
        <f>IF(C619="","",H619-InventoryTable[[#This Row],[Units Sold]])</f>
        <v/>
      </c>
      <c r="W619" t="str">
        <f t="shared" si="95"/>
        <v/>
      </c>
      <c r="X619" t="str">
        <f t="shared" si="96"/>
        <v/>
      </c>
      <c r="Y619" t="str">
        <f>IF(C619="","",IF(InventoryTable[[#This Row],[Stock Balance]]&lt;=0,"Sold Out",IF((InventoryTable[[#This Row],[Stock Balance]]/InventoryTable[[#This Row],[Total Pieces]])&lt;=0.25,"Low on Stocks","Available")))</f>
        <v/>
      </c>
    </row>
    <row r="620" spans="1:25" x14ac:dyDescent="0.3">
      <c r="A620" t="str">
        <f>IF(C620="","",_xlfn.CONCAT(LEFT(InventoryTable[[#This Row],[Category]],1),InventoryTable[[#This Row],[Product Pricing Type]],ROW()))</f>
        <v/>
      </c>
      <c r="H620" t="str">
        <f t="shared" si="97"/>
        <v/>
      </c>
      <c r="K620" t="str">
        <f t="shared" si="98"/>
        <v/>
      </c>
      <c r="N620" t="str">
        <f t="shared" si="99"/>
        <v/>
      </c>
      <c r="P620" t="str">
        <f t="shared" si="100"/>
        <v/>
      </c>
      <c r="Q620" s="4" t="str">
        <f t="shared" si="101"/>
        <v/>
      </c>
      <c r="R620" t="str">
        <f t="shared" si="102"/>
        <v/>
      </c>
      <c r="S620" t="str">
        <f t="shared" si="103"/>
        <v/>
      </c>
      <c r="T620" t="str">
        <f>IF(C620="","",InventoryTable[[#This Row],[Profit per Unit]]*InventoryTable[[#This Row],[Total Pieces]])</f>
        <v/>
      </c>
      <c r="U620" t="str">
        <f t="shared" si="94"/>
        <v/>
      </c>
      <c r="V620" t="str">
        <f>IF(C620="","",H620-InventoryTable[[#This Row],[Units Sold]])</f>
        <v/>
      </c>
      <c r="W620" t="str">
        <f t="shared" si="95"/>
        <v/>
      </c>
      <c r="X620" t="str">
        <f t="shared" si="96"/>
        <v/>
      </c>
      <c r="Y620" t="str">
        <f>IF(C620="","",IF(InventoryTable[[#This Row],[Stock Balance]]&lt;=0,"Sold Out",IF((InventoryTable[[#This Row],[Stock Balance]]/InventoryTable[[#This Row],[Total Pieces]])&lt;=0.25,"Low on Stocks","Available")))</f>
        <v/>
      </c>
    </row>
    <row r="621" spans="1:25" x14ac:dyDescent="0.3">
      <c r="A621" t="str">
        <f>IF(C621="","",_xlfn.CONCAT(LEFT(InventoryTable[[#This Row],[Category]],1),InventoryTable[[#This Row],[Product Pricing Type]],ROW()))</f>
        <v/>
      </c>
      <c r="H621" t="str">
        <f t="shared" si="97"/>
        <v/>
      </c>
      <c r="K621" t="str">
        <f t="shared" si="98"/>
        <v/>
      </c>
      <c r="N621" t="str">
        <f t="shared" si="99"/>
        <v/>
      </c>
      <c r="P621" t="str">
        <f t="shared" si="100"/>
        <v/>
      </c>
      <c r="Q621" s="4" t="str">
        <f t="shared" si="101"/>
        <v/>
      </c>
      <c r="R621" t="str">
        <f t="shared" si="102"/>
        <v/>
      </c>
      <c r="S621" t="str">
        <f t="shared" si="103"/>
        <v/>
      </c>
      <c r="T621" t="str">
        <f>IF(C621="","",InventoryTable[[#This Row],[Profit per Unit]]*InventoryTable[[#This Row],[Total Pieces]])</f>
        <v/>
      </c>
      <c r="U621" t="str">
        <f t="shared" si="94"/>
        <v/>
      </c>
      <c r="V621" t="str">
        <f>IF(C621="","",H621-InventoryTable[[#This Row],[Units Sold]])</f>
        <v/>
      </c>
      <c r="W621" t="str">
        <f t="shared" si="95"/>
        <v/>
      </c>
      <c r="X621" t="str">
        <f t="shared" si="96"/>
        <v/>
      </c>
      <c r="Y621" t="str">
        <f>IF(C621="","",IF(InventoryTable[[#This Row],[Stock Balance]]&lt;=0,"Sold Out",IF((InventoryTable[[#This Row],[Stock Balance]]/InventoryTable[[#This Row],[Total Pieces]])&lt;=0.25,"Low on Stocks","Available")))</f>
        <v/>
      </c>
    </row>
    <row r="622" spans="1:25" x14ac:dyDescent="0.3">
      <c r="A622" t="str">
        <f>IF(C622="","",_xlfn.CONCAT(LEFT(InventoryTable[[#This Row],[Category]],1),InventoryTable[[#This Row],[Product Pricing Type]],ROW()))</f>
        <v/>
      </c>
      <c r="H622" t="str">
        <f t="shared" si="97"/>
        <v/>
      </c>
      <c r="K622" t="str">
        <f t="shared" si="98"/>
        <v/>
      </c>
      <c r="N622" t="str">
        <f t="shared" si="99"/>
        <v/>
      </c>
      <c r="P622" t="str">
        <f t="shared" si="100"/>
        <v/>
      </c>
      <c r="Q622" s="4" t="str">
        <f t="shared" si="101"/>
        <v/>
      </c>
      <c r="R622" t="str">
        <f t="shared" si="102"/>
        <v/>
      </c>
      <c r="S622" t="str">
        <f t="shared" si="103"/>
        <v/>
      </c>
      <c r="T622" t="str">
        <f>IF(C622="","",InventoryTable[[#This Row],[Profit per Unit]]*InventoryTable[[#This Row],[Total Pieces]])</f>
        <v/>
      </c>
      <c r="U622" t="str">
        <f t="shared" si="94"/>
        <v/>
      </c>
      <c r="V622" t="str">
        <f>IF(C622="","",H622-InventoryTable[[#This Row],[Units Sold]])</f>
        <v/>
      </c>
      <c r="W622" t="str">
        <f t="shared" si="95"/>
        <v/>
      </c>
      <c r="X622" t="str">
        <f t="shared" si="96"/>
        <v/>
      </c>
      <c r="Y622" t="str">
        <f>IF(C622="","",IF(InventoryTable[[#This Row],[Stock Balance]]&lt;=0,"Sold Out",IF((InventoryTable[[#This Row],[Stock Balance]]/InventoryTable[[#This Row],[Total Pieces]])&lt;=0.25,"Low on Stocks","Available")))</f>
        <v/>
      </c>
    </row>
    <row r="623" spans="1:25" x14ac:dyDescent="0.3">
      <c r="A623" t="str">
        <f>IF(C623="","",_xlfn.CONCAT(LEFT(InventoryTable[[#This Row],[Category]],1),InventoryTable[[#This Row],[Product Pricing Type]],ROW()))</f>
        <v/>
      </c>
      <c r="H623" t="str">
        <f t="shared" si="97"/>
        <v/>
      </c>
      <c r="K623" t="str">
        <f t="shared" si="98"/>
        <v/>
      </c>
      <c r="N623" t="str">
        <f t="shared" si="99"/>
        <v/>
      </c>
      <c r="P623" t="str">
        <f t="shared" si="100"/>
        <v/>
      </c>
      <c r="Q623" s="4" t="str">
        <f t="shared" si="101"/>
        <v/>
      </c>
      <c r="R623" t="str">
        <f t="shared" si="102"/>
        <v/>
      </c>
      <c r="S623" t="str">
        <f t="shared" si="103"/>
        <v/>
      </c>
      <c r="T623" t="str">
        <f>IF(C623="","",InventoryTable[[#This Row],[Profit per Unit]]*InventoryTable[[#This Row],[Total Pieces]])</f>
        <v/>
      </c>
      <c r="U623" t="str">
        <f t="shared" si="94"/>
        <v/>
      </c>
      <c r="V623" t="str">
        <f>IF(C623="","",H623-InventoryTable[[#This Row],[Units Sold]])</f>
        <v/>
      </c>
      <c r="W623" t="str">
        <f t="shared" si="95"/>
        <v/>
      </c>
      <c r="X623" t="str">
        <f t="shared" si="96"/>
        <v/>
      </c>
      <c r="Y623" t="str">
        <f>IF(C623="","",IF(InventoryTable[[#This Row],[Stock Balance]]&lt;=0,"Sold Out",IF((InventoryTable[[#This Row],[Stock Balance]]/InventoryTable[[#This Row],[Total Pieces]])&lt;=0.25,"Low on Stocks","Available")))</f>
        <v/>
      </c>
    </row>
    <row r="624" spans="1:25" x14ac:dyDescent="0.3">
      <c r="A624" t="str">
        <f>IF(C624="","",_xlfn.CONCAT(LEFT(InventoryTable[[#This Row],[Category]],1),InventoryTable[[#This Row],[Product Pricing Type]],ROW()))</f>
        <v/>
      </c>
      <c r="H624" t="str">
        <f t="shared" si="97"/>
        <v/>
      </c>
      <c r="K624" t="str">
        <f t="shared" si="98"/>
        <v/>
      </c>
      <c r="N624" t="str">
        <f t="shared" si="99"/>
        <v/>
      </c>
      <c r="P624" t="str">
        <f t="shared" si="100"/>
        <v/>
      </c>
      <c r="Q624" s="4" t="str">
        <f t="shared" si="101"/>
        <v/>
      </c>
      <c r="R624" t="str">
        <f t="shared" si="102"/>
        <v/>
      </c>
      <c r="S624" t="str">
        <f t="shared" si="103"/>
        <v/>
      </c>
      <c r="T624" t="str">
        <f>IF(C624="","",InventoryTable[[#This Row],[Profit per Unit]]*InventoryTable[[#This Row],[Total Pieces]])</f>
        <v/>
      </c>
      <c r="U624" t="str">
        <f t="shared" si="94"/>
        <v/>
      </c>
      <c r="V624" t="str">
        <f>IF(C624="","",H624-InventoryTable[[#This Row],[Units Sold]])</f>
        <v/>
      </c>
      <c r="W624" t="str">
        <f t="shared" si="95"/>
        <v/>
      </c>
      <c r="X624" t="str">
        <f t="shared" si="96"/>
        <v/>
      </c>
      <c r="Y624" t="str">
        <f>IF(C624="","",IF(InventoryTable[[#This Row],[Stock Balance]]&lt;=0,"Sold Out",IF((InventoryTable[[#This Row],[Stock Balance]]/InventoryTable[[#This Row],[Total Pieces]])&lt;=0.25,"Low on Stocks","Available")))</f>
        <v/>
      </c>
    </row>
    <row r="625" spans="1:25" x14ac:dyDescent="0.3">
      <c r="A625" t="str">
        <f>IF(C625="","",_xlfn.CONCAT(LEFT(InventoryTable[[#This Row],[Category]],1),InventoryTable[[#This Row],[Product Pricing Type]],ROW()))</f>
        <v/>
      </c>
      <c r="H625" t="str">
        <f t="shared" si="97"/>
        <v/>
      </c>
      <c r="K625" t="str">
        <f t="shared" si="98"/>
        <v/>
      </c>
      <c r="N625" t="str">
        <f t="shared" si="99"/>
        <v/>
      </c>
      <c r="P625" t="str">
        <f t="shared" si="100"/>
        <v/>
      </c>
      <c r="Q625" s="4" t="str">
        <f t="shared" si="101"/>
        <v/>
      </c>
      <c r="R625" t="str">
        <f t="shared" si="102"/>
        <v/>
      </c>
      <c r="S625" t="str">
        <f t="shared" si="103"/>
        <v/>
      </c>
      <c r="T625" t="str">
        <f>IF(C625="","",InventoryTable[[#This Row],[Profit per Unit]]*InventoryTable[[#This Row],[Total Pieces]])</f>
        <v/>
      </c>
      <c r="U625" t="str">
        <f t="shared" si="94"/>
        <v/>
      </c>
      <c r="V625" t="str">
        <f>IF(C625="","",H625-InventoryTable[[#This Row],[Units Sold]])</f>
        <v/>
      </c>
      <c r="W625" t="str">
        <f t="shared" si="95"/>
        <v/>
      </c>
      <c r="X625" t="str">
        <f t="shared" si="96"/>
        <v/>
      </c>
      <c r="Y625" t="str">
        <f>IF(C625="","",IF(InventoryTable[[#This Row],[Stock Balance]]&lt;=0,"Sold Out",IF((InventoryTable[[#This Row],[Stock Balance]]/InventoryTable[[#This Row],[Total Pieces]])&lt;=0.25,"Low on Stocks","Available")))</f>
        <v/>
      </c>
    </row>
    <row r="626" spans="1:25" x14ac:dyDescent="0.3">
      <c r="A626" t="str">
        <f>IF(C626="","",_xlfn.CONCAT(LEFT(InventoryTable[[#This Row],[Category]],1),InventoryTable[[#This Row],[Product Pricing Type]],ROW()))</f>
        <v/>
      </c>
      <c r="H626" t="str">
        <f t="shared" si="97"/>
        <v/>
      </c>
      <c r="K626" t="str">
        <f t="shared" si="98"/>
        <v/>
      </c>
      <c r="N626" t="str">
        <f t="shared" si="99"/>
        <v/>
      </c>
      <c r="P626" t="str">
        <f t="shared" si="100"/>
        <v/>
      </c>
      <c r="Q626" s="4" t="str">
        <f t="shared" si="101"/>
        <v/>
      </c>
      <c r="R626" t="str">
        <f t="shared" si="102"/>
        <v/>
      </c>
      <c r="S626" t="str">
        <f t="shared" si="103"/>
        <v/>
      </c>
      <c r="T626" t="str">
        <f>IF(C626="","",InventoryTable[[#This Row],[Profit per Unit]]*InventoryTable[[#This Row],[Total Pieces]])</f>
        <v/>
      </c>
      <c r="U626" t="str">
        <f t="shared" si="94"/>
        <v/>
      </c>
      <c r="V626" t="str">
        <f>IF(C626="","",H626-InventoryTable[[#This Row],[Units Sold]])</f>
        <v/>
      </c>
      <c r="W626" t="str">
        <f t="shared" si="95"/>
        <v/>
      </c>
      <c r="X626" t="str">
        <f t="shared" si="96"/>
        <v/>
      </c>
      <c r="Y626" t="str">
        <f>IF(C626="","",IF(InventoryTable[[#This Row],[Stock Balance]]&lt;=0,"Sold Out",IF((InventoryTable[[#This Row],[Stock Balance]]/InventoryTable[[#This Row],[Total Pieces]])&lt;=0.25,"Low on Stocks","Available")))</f>
        <v/>
      </c>
    </row>
    <row r="627" spans="1:25" x14ac:dyDescent="0.3">
      <c r="A627" t="str">
        <f>IF(C627="","",_xlfn.CONCAT(LEFT(InventoryTable[[#This Row],[Category]],1),InventoryTable[[#This Row],[Product Pricing Type]],ROW()))</f>
        <v/>
      </c>
      <c r="H627" t="str">
        <f t="shared" si="97"/>
        <v/>
      </c>
      <c r="K627" t="str">
        <f t="shared" si="98"/>
        <v/>
      </c>
      <c r="N627" t="str">
        <f t="shared" si="99"/>
        <v/>
      </c>
      <c r="P627" t="str">
        <f t="shared" si="100"/>
        <v/>
      </c>
      <c r="Q627" s="4" t="str">
        <f t="shared" si="101"/>
        <v/>
      </c>
      <c r="R627" t="str">
        <f t="shared" si="102"/>
        <v/>
      </c>
      <c r="S627" t="str">
        <f t="shared" si="103"/>
        <v/>
      </c>
      <c r="T627" t="str">
        <f>IF(C627="","",InventoryTable[[#This Row],[Profit per Unit]]*InventoryTable[[#This Row],[Total Pieces]])</f>
        <v/>
      </c>
      <c r="U627" t="str">
        <f t="shared" si="94"/>
        <v/>
      </c>
      <c r="V627" t="str">
        <f>IF(C627="","",H627-InventoryTable[[#This Row],[Units Sold]])</f>
        <v/>
      </c>
      <c r="W627" t="str">
        <f t="shared" si="95"/>
        <v/>
      </c>
      <c r="X627" t="str">
        <f t="shared" si="96"/>
        <v/>
      </c>
      <c r="Y627" t="str">
        <f>IF(C627="","",IF(InventoryTable[[#This Row],[Stock Balance]]&lt;=0,"Sold Out",IF((InventoryTable[[#This Row],[Stock Balance]]/InventoryTable[[#This Row],[Total Pieces]])&lt;=0.25,"Low on Stocks","Available")))</f>
        <v/>
      </c>
    </row>
    <row r="628" spans="1:25" x14ac:dyDescent="0.3">
      <c r="A628" t="str">
        <f>IF(C628="","",_xlfn.CONCAT(LEFT(InventoryTable[[#This Row],[Category]],1),InventoryTable[[#This Row],[Product Pricing Type]],ROW()))</f>
        <v/>
      </c>
      <c r="H628" t="str">
        <f t="shared" si="97"/>
        <v/>
      </c>
      <c r="K628" t="str">
        <f t="shared" si="98"/>
        <v/>
      </c>
      <c r="N628" t="str">
        <f t="shared" si="99"/>
        <v/>
      </c>
      <c r="P628" t="str">
        <f t="shared" si="100"/>
        <v/>
      </c>
      <c r="Q628" s="4" t="str">
        <f t="shared" si="101"/>
        <v/>
      </c>
      <c r="R628" t="str">
        <f t="shared" si="102"/>
        <v/>
      </c>
      <c r="S628" t="str">
        <f t="shared" si="103"/>
        <v/>
      </c>
      <c r="T628" t="str">
        <f>IF(C628="","",InventoryTable[[#This Row],[Profit per Unit]]*InventoryTable[[#This Row],[Total Pieces]])</f>
        <v/>
      </c>
      <c r="U628" t="str">
        <f t="shared" si="94"/>
        <v/>
      </c>
      <c r="V628" t="str">
        <f>IF(C628="","",H628-InventoryTable[[#This Row],[Units Sold]])</f>
        <v/>
      </c>
      <c r="W628" t="str">
        <f t="shared" si="95"/>
        <v/>
      </c>
      <c r="X628" t="str">
        <f t="shared" si="96"/>
        <v/>
      </c>
      <c r="Y628" t="str">
        <f>IF(C628="","",IF(InventoryTable[[#This Row],[Stock Balance]]&lt;=0,"Sold Out",IF((InventoryTable[[#This Row],[Stock Balance]]/InventoryTable[[#This Row],[Total Pieces]])&lt;=0.25,"Low on Stocks","Available")))</f>
        <v/>
      </c>
    </row>
    <row r="629" spans="1:25" x14ac:dyDescent="0.3">
      <c r="A629" t="str">
        <f>IF(C629="","",_xlfn.CONCAT(LEFT(InventoryTable[[#This Row],[Category]],1),InventoryTable[[#This Row],[Product Pricing Type]],ROW()))</f>
        <v/>
      </c>
      <c r="H629" t="str">
        <f t="shared" si="97"/>
        <v/>
      </c>
      <c r="K629" t="str">
        <f t="shared" si="98"/>
        <v/>
      </c>
      <c r="N629" t="str">
        <f t="shared" si="99"/>
        <v/>
      </c>
      <c r="P629" t="str">
        <f t="shared" si="100"/>
        <v/>
      </c>
      <c r="Q629" s="4" t="str">
        <f t="shared" si="101"/>
        <v/>
      </c>
      <c r="R629" t="str">
        <f t="shared" si="102"/>
        <v/>
      </c>
      <c r="S629" t="str">
        <f t="shared" si="103"/>
        <v/>
      </c>
      <c r="T629" t="str">
        <f>IF(C629="","",InventoryTable[[#This Row],[Profit per Unit]]*InventoryTable[[#This Row],[Total Pieces]])</f>
        <v/>
      </c>
      <c r="U629" t="str">
        <f t="shared" si="94"/>
        <v/>
      </c>
      <c r="V629" t="str">
        <f>IF(C629="","",H629-InventoryTable[[#This Row],[Units Sold]])</f>
        <v/>
      </c>
      <c r="W629" t="str">
        <f t="shared" si="95"/>
        <v/>
      </c>
      <c r="X629" t="str">
        <f t="shared" si="96"/>
        <v/>
      </c>
      <c r="Y629" t="str">
        <f>IF(C629="","",IF(InventoryTable[[#This Row],[Stock Balance]]&lt;=0,"Sold Out",IF((InventoryTable[[#This Row],[Stock Balance]]/InventoryTable[[#This Row],[Total Pieces]])&lt;=0.25,"Low on Stocks","Available")))</f>
        <v/>
      </c>
    </row>
    <row r="630" spans="1:25" x14ac:dyDescent="0.3">
      <c r="A630" t="str">
        <f>IF(C630="","",_xlfn.CONCAT(LEFT(InventoryTable[[#This Row],[Category]],1),InventoryTable[[#This Row],[Product Pricing Type]],ROW()))</f>
        <v/>
      </c>
      <c r="H630" t="str">
        <f t="shared" si="97"/>
        <v/>
      </c>
      <c r="K630" t="str">
        <f t="shared" si="98"/>
        <v/>
      </c>
      <c r="N630" t="str">
        <f t="shared" si="99"/>
        <v/>
      </c>
      <c r="P630" t="str">
        <f t="shared" si="100"/>
        <v/>
      </c>
      <c r="Q630" s="4" t="str">
        <f t="shared" si="101"/>
        <v/>
      </c>
      <c r="R630" t="str">
        <f t="shared" si="102"/>
        <v/>
      </c>
      <c r="S630" t="str">
        <f t="shared" si="103"/>
        <v/>
      </c>
      <c r="T630" t="str">
        <f>IF(C630="","",InventoryTable[[#This Row],[Profit per Unit]]*InventoryTable[[#This Row],[Total Pieces]])</f>
        <v/>
      </c>
      <c r="U630" t="str">
        <f t="shared" si="94"/>
        <v/>
      </c>
      <c r="V630" t="str">
        <f>IF(C630="","",H630-InventoryTable[[#This Row],[Units Sold]])</f>
        <v/>
      </c>
      <c r="W630" t="str">
        <f t="shared" si="95"/>
        <v/>
      </c>
      <c r="X630" t="str">
        <f t="shared" si="96"/>
        <v/>
      </c>
      <c r="Y630" t="str">
        <f>IF(C630="","",IF(InventoryTable[[#This Row],[Stock Balance]]&lt;=0,"Sold Out",IF((InventoryTable[[#This Row],[Stock Balance]]/InventoryTable[[#This Row],[Total Pieces]])&lt;=0.25,"Low on Stocks","Available")))</f>
        <v/>
      </c>
    </row>
    <row r="631" spans="1:25" x14ac:dyDescent="0.3">
      <c r="A631" t="str">
        <f>IF(C631="","",_xlfn.CONCAT(LEFT(InventoryTable[[#This Row],[Category]],1),InventoryTable[[#This Row],[Product Pricing Type]],ROW()))</f>
        <v/>
      </c>
      <c r="H631" t="str">
        <f t="shared" si="97"/>
        <v/>
      </c>
      <c r="K631" t="str">
        <f t="shared" si="98"/>
        <v/>
      </c>
      <c r="N631" t="str">
        <f t="shared" si="99"/>
        <v/>
      </c>
      <c r="P631" t="str">
        <f t="shared" si="100"/>
        <v/>
      </c>
      <c r="Q631" s="4" t="str">
        <f t="shared" si="101"/>
        <v/>
      </c>
      <c r="R631" t="str">
        <f t="shared" si="102"/>
        <v/>
      </c>
      <c r="S631" t="str">
        <f t="shared" si="103"/>
        <v/>
      </c>
      <c r="T631" t="str">
        <f>IF(C631="","",InventoryTable[[#This Row],[Profit per Unit]]*InventoryTable[[#This Row],[Total Pieces]])</f>
        <v/>
      </c>
      <c r="U631" t="str">
        <f t="shared" si="94"/>
        <v/>
      </c>
      <c r="V631" t="str">
        <f>IF(C631="","",H631-InventoryTable[[#This Row],[Units Sold]])</f>
        <v/>
      </c>
      <c r="W631" t="str">
        <f t="shared" si="95"/>
        <v/>
      </c>
      <c r="X631" t="str">
        <f t="shared" si="96"/>
        <v/>
      </c>
      <c r="Y631" t="str">
        <f>IF(C631="","",IF(InventoryTable[[#This Row],[Stock Balance]]&lt;=0,"Sold Out",IF((InventoryTable[[#This Row],[Stock Balance]]/InventoryTable[[#This Row],[Total Pieces]])&lt;=0.25,"Low on Stocks","Available")))</f>
        <v/>
      </c>
    </row>
    <row r="632" spans="1:25" x14ac:dyDescent="0.3">
      <c r="A632" t="str">
        <f>IF(C632="","",_xlfn.CONCAT(LEFT(InventoryTable[[#This Row],[Category]],1),InventoryTable[[#This Row],[Product Pricing Type]],ROW()))</f>
        <v/>
      </c>
      <c r="H632" t="str">
        <f t="shared" si="97"/>
        <v/>
      </c>
      <c r="K632" t="str">
        <f t="shared" si="98"/>
        <v/>
      </c>
      <c r="N632" t="str">
        <f t="shared" si="99"/>
        <v/>
      </c>
      <c r="P632" t="str">
        <f t="shared" si="100"/>
        <v/>
      </c>
      <c r="Q632" s="4" t="str">
        <f t="shared" si="101"/>
        <v/>
      </c>
      <c r="R632" t="str">
        <f t="shared" si="102"/>
        <v/>
      </c>
      <c r="S632" t="str">
        <f t="shared" si="103"/>
        <v/>
      </c>
      <c r="T632" t="str">
        <f>IF(C632="","",InventoryTable[[#This Row],[Profit per Unit]]*InventoryTable[[#This Row],[Total Pieces]])</f>
        <v/>
      </c>
      <c r="U632" t="str">
        <f t="shared" si="94"/>
        <v/>
      </c>
      <c r="V632" t="str">
        <f>IF(C632="","",H632-InventoryTable[[#This Row],[Units Sold]])</f>
        <v/>
      </c>
      <c r="W632" t="str">
        <f t="shared" si="95"/>
        <v/>
      </c>
      <c r="X632" t="str">
        <f t="shared" si="96"/>
        <v/>
      </c>
      <c r="Y632" t="str">
        <f>IF(C632="","",IF(InventoryTable[[#This Row],[Stock Balance]]&lt;=0,"Sold Out",IF((InventoryTable[[#This Row],[Stock Balance]]/InventoryTable[[#This Row],[Total Pieces]])&lt;=0.25,"Low on Stocks","Available")))</f>
        <v/>
      </c>
    </row>
    <row r="633" spans="1:25" x14ac:dyDescent="0.3">
      <c r="A633" t="str">
        <f>IF(C633="","",_xlfn.CONCAT(LEFT(InventoryTable[[#This Row],[Category]],1),InventoryTable[[#This Row],[Product Pricing Type]],ROW()))</f>
        <v/>
      </c>
      <c r="H633" t="str">
        <f t="shared" si="97"/>
        <v/>
      </c>
      <c r="K633" t="str">
        <f t="shared" si="98"/>
        <v/>
      </c>
      <c r="N633" t="str">
        <f t="shared" si="99"/>
        <v/>
      </c>
      <c r="P633" t="str">
        <f t="shared" si="100"/>
        <v/>
      </c>
      <c r="Q633" s="4" t="str">
        <f t="shared" si="101"/>
        <v/>
      </c>
      <c r="R633" t="str">
        <f t="shared" si="102"/>
        <v/>
      </c>
      <c r="S633" t="str">
        <f t="shared" si="103"/>
        <v/>
      </c>
      <c r="T633" t="str">
        <f>IF(C633="","",InventoryTable[[#This Row],[Profit per Unit]]*InventoryTable[[#This Row],[Total Pieces]])</f>
        <v/>
      </c>
      <c r="U633" t="str">
        <f t="shared" si="94"/>
        <v/>
      </c>
      <c r="V633" t="str">
        <f>IF(C633="","",H633-InventoryTable[[#This Row],[Units Sold]])</f>
        <v/>
      </c>
      <c r="W633" t="str">
        <f t="shared" si="95"/>
        <v/>
      </c>
      <c r="X633" t="str">
        <f t="shared" si="96"/>
        <v/>
      </c>
      <c r="Y633" t="str">
        <f>IF(C633="","",IF(InventoryTable[[#This Row],[Stock Balance]]&lt;=0,"Sold Out",IF((InventoryTable[[#This Row],[Stock Balance]]/InventoryTable[[#This Row],[Total Pieces]])&lt;=0.25,"Low on Stocks","Available")))</f>
        <v/>
      </c>
    </row>
    <row r="634" spans="1:25" x14ac:dyDescent="0.3">
      <c r="A634" t="str">
        <f>IF(C634="","",_xlfn.CONCAT(LEFT(InventoryTable[[#This Row],[Category]],1),InventoryTable[[#This Row],[Product Pricing Type]],ROW()))</f>
        <v/>
      </c>
      <c r="H634" t="str">
        <f t="shared" si="97"/>
        <v/>
      </c>
      <c r="K634" t="str">
        <f t="shared" si="98"/>
        <v/>
      </c>
      <c r="N634" t="str">
        <f t="shared" si="99"/>
        <v/>
      </c>
      <c r="P634" t="str">
        <f t="shared" si="100"/>
        <v/>
      </c>
      <c r="Q634" s="4" t="str">
        <f t="shared" si="101"/>
        <v/>
      </c>
      <c r="R634" t="str">
        <f t="shared" si="102"/>
        <v/>
      </c>
      <c r="S634" t="str">
        <f t="shared" si="103"/>
        <v/>
      </c>
      <c r="T634" t="str">
        <f>IF(C634="","",InventoryTable[[#This Row],[Profit per Unit]]*InventoryTable[[#This Row],[Total Pieces]])</f>
        <v/>
      </c>
      <c r="U634" t="str">
        <f t="shared" si="94"/>
        <v/>
      </c>
      <c r="V634" t="str">
        <f>IF(C634="","",H634-InventoryTable[[#This Row],[Units Sold]])</f>
        <v/>
      </c>
      <c r="W634" t="str">
        <f t="shared" si="95"/>
        <v/>
      </c>
      <c r="X634" t="str">
        <f t="shared" si="96"/>
        <v/>
      </c>
      <c r="Y634" t="str">
        <f>IF(C634="","",IF(InventoryTable[[#This Row],[Stock Balance]]&lt;=0,"Sold Out",IF((InventoryTable[[#This Row],[Stock Balance]]/InventoryTable[[#This Row],[Total Pieces]])&lt;=0.25,"Low on Stocks","Available")))</f>
        <v/>
      </c>
    </row>
    <row r="635" spans="1:25" x14ac:dyDescent="0.3">
      <c r="A635" t="str">
        <f>IF(C635="","",_xlfn.CONCAT(LEFT(InventoryTable[[#This Row],[Category]],1),InventoryTable[[#This Row],[Product Pricing Type]],ROW()))</f>
        <v/>
      </c>
      <c r="H635" t="str">
        <f t="shared" si="97"/>
        <v/>
      </c>
      <c r="K635" t="str">
        <f t="shared" si="98"/>
        <v/>
      </c>
      <c r="N635" t="str">
        <f t="shared" si="99"/>
        <v/>
      </c>
      <c r="P635" t="str">
        <f t="shared" si="100"/>
        <v/>
      </c>
      <c r="Q635" s="4" t="str">
        <f t="shared" si="101"/>
        <v/>
      </c>
      <c r="R635" t="str">
        <f t="shared" si="102"/>
        <v/>
      </c>
      <c r="S635" t="str">
        <f t="shared" si="103"/>
        <v/>
      </c>
      <c r="T635" t="str">
        <f>IF(C635="","",InventoryTable[[#This Row],[Profit per Unit]]*InventoryTable[[#This Row],[Total Pieces]])</f>
        <v/>
      </c>
      <c r="U635" t="str">
        <f t="shared" si="94"/>
        <v/>
      </c>
      <c r="V635" t="str">
        <f>IF(C635="","",H635-InventoryTable[[#This Row],[Units Sold]])</f>
        <v/>
      </c>
      <c r="W635" t="str">
        <f t="shared" si="95"/>
        <v/>
      </c>
      <c r="X635" t="str">
        <f t="shared" si="96"/>
        <v/>
      </c>
      <c r="Y635" t="str">
        <f>IF(C635="","",IF(InventoryTable[[#This Row],[Stock Balance]]&lt;=0,"Sold Out",IF((InventoryTable[[#This Row],[Stock Balance]]/InventoryTable[[#This Row],[Total Pieces]])&lt;=0.25,"Low on Stocks","Available")))</f>
        <v/>
      </c>
    </row>
    <row r="636" spans="1:25" x14ac:dyDescent="0.3">
      <c r="A636" t="str">
        <f>IF(C636="","",_xlfn.CONCAT(LEFT(InventoryTable[[#This Row],[Category]],1),InventoryTable[[#This Row],[Product Pricing Type]],ROW()))</f>
        <v/>
      </c>
      <c r="H636" t="str">
        <f t="shared" si="97"/>
        <v/>
      </c>
      <c r="K636" t="str">
        <f t="shared" si="98"/>
        <v/>
      </c>
      <c r="N636" t="str">
        <f t="shared" si="99"/>
        <v/>
      </c>
      <c r="P636" t="str">
        <f t="shared" si="100"/>
        <v/>
      </c>
      <c r="Q636" s="4" t="str">
        <f t="shared" si="101"/>
        <v/>
      </c>
      <c r="R636" t="str">
        <f t="shared" si="102"/>
        <v/>
      </c>
      <c r="S636" t="str">
        <f t="shared" si="103"/>
        <v/>
      </c>
      <c r="T636" t="str">
        <f>IF(C636="","",InventoryTable[[#This Row],[Profit per Unit]]*InventoryTable[[#This Row],[Total Pieces]])</f>
        <v/>
      </c>
      <c r="U636" t="str">
        <f t="shared" si="94"/>
        <v/>
      </c>
      <c r="V636" t="str">
        <f>IF(C636="","",H636-InventoryTable[[#This Row],[Units Sold]])</f>
        <v/>
      </c>
      <c r="W636" t="str">
        <f t="shared" si="95"/>
        <v/>
      </c>
      <c r="X636" t="str">
        <f t="shared" si="96"/>
        <v/>
      </c>
      <c r="Y636" t="str">
        <f>IF(C636="","",IF(InventoryTable[[#This Row],[Stock Balance]]&lt;=0,"Sold Out",IF((InventoryTable[[#This Row],[Stock Balance]]/InventoryTable[[#This Row],[Total Pieces]])&lt;=0.25,"Low on Stocks","Available")))</f>
        <v/>
      </c>
    </row>
    <row r="637" spans="1:25" x14ac:dyDescent="0.3">
      <c r="A637" t="str">
        <f>IF(C637="","",_xlfn.CONCAT(LEFT(InventoryTable[[#This Row],[Category]],1),InventoryTable[[#This Row],[Product Pricing Type]],ROW()))</f>
        <v/>
      </c>
      <c r="H637" t="str">
        <f t="shared" si="97"/>
        <v/>
      </c>
      <c r="K637" t="str">
        <f t="shared" si="98"/>
        <v/>
      </c>
      <c r="N637" t="str">
        <f t="shared" si="99"/>
        <v/>
      </c>
      <c r="P637" t="str">
        <f t="shared" si="100"/>
        <v/>
      </c>
      <c r="Q637" s="4" t="str">
        <f t="shared" si="101"/>
        <v/>
      </c>
      <c r="R637" t="str">
        <f t="shared" si="102"/>
        <v/>
      </c>
      <c r="S637" t="str">
        <f t="shared" si="103"/>
        <v/>
      </c>
      <c r="T637" t="str">
        <f>IF(C637="","",InventoryTable[[#This Row],[Profit per Unit]]*InventoryTable[[#This Row],[Total Pieces]])</f>
        <v/>
      </c>
      <c r="U637" t="str">
        <f t="shared" ref="U637:U700" si="104">IF(C637="","",0)</f>
        <v/>
      </c>
      <c r="V637" t="str">
        <f>IF(C637="","",H637-InventoryTable[[#This Row],[Units Sold]])</f>
        <v/>
      </c>
      <c r="W637" t="str">
        <f t="shared" ref="W637:W700" si="105">IF(C637="","",Q637*U637)</f>
        <v/>
      </c>
      <c r="X637" t="str">
        <f t="shared" ref="X637:X700" si="106">IF(C637="","",S637*U637)</f>
        <v/>
      </c>
      <c r="Y637" t="str">
        <f>IF(C637="","",IF(InventoryTable[[#This Row],[Stock Balance]]&lt;=0,"Sold Out",IF((InventoryTable[[#This Row],[Stock Balance]]/InventoryTable[[#This Row],[Total Pieces]])&lt;=0.25,"Low on Stocks","Available")))</f>
        <v/>
      </c>
    </row>
    <row r="638" spans="1:25" x14ac:dyDescent="0.3">
      <c r="A638" t="str">
        <f>IF(C638="","",_xlfn.CONCAT(LEFT(InventoryTable[[#This Row],[Category]],1),InventoryTable[[#This Row],[Product Pricing Type]],ROW()))</f>
        <v/>
      </c>
      <c r="H638" t="str">
        <f t="shared" si="97"/>
        <v/>
      </c>
      <c r="K638" t="str">
        <f t="shared" si="98"/>
        <v/>
      </c>
      <c r="N638" t="str">
        <f t="shared" si="99"/>
        <v/>
      </c>
      <c r="P638" t="str">
        <f t="shared" si="100"/>
        <v/>
      </c>
      <c r="Q638" s="4" t="str">
        <f t="shared" si="101"/>
        <v/>
      </c>
      <c r="R638" t="str">
        <f t="shared" si="102"/>
        <v/>
      </c>
      <c r="S638" t="str">
        <f t="shared" si="103"/>
        <v/>
      </c>
      <c r="T638" t="str">
        <f>IF(C638="","",InventoryTable[[#This Row],[Profit per Unit]]*InventoryTable[[#This Row],[Total Pieces]])</f>
        <v/>
      </c>
      <c r="U638" t="str">
        <f t="shared" si="104"/>
        <v/>
      </c>
      <c r="V638" t="str">
        <f>IF(C638="","",H638-InventoryTable[[#This Row],[Units Sold]])</f>
        <v/>
      </c>
      <c r="W638" t="str">
        <f t="shared" si="105"/>
        <v/>
      </c>
      <c r="X638" t="str">
        <f t="shared" si="106"/>
        <v/>
      </c>
      <c r="Y638" t="str">
        <f>IF(C638="","",IF(InventoryTable[[#This Row],[Stock Balance]]&lt;=0,"Sold Out",IF((InventoryTable[[#This Row],[Stock Balance]]/InventoryTable[[#This Row],[Total Pieces]])&lt;=0.25,"Low on Stocks","Available")))</f>
        <v/>
      </c>
    </row>
    <row r="639" spans="1:25" x14ac:dyDescent="0.3">
      <c r="A639" t="str">
        <f>IF(C639="","",_xlfn.CONCAT(LEFT(InventoryTable[[#This Row],[Category]],1),InventoryTable[[#This Row],[Product Pricing Type]],ROW()))</f>
        <v/>
      </c>
      <c r="H639" t="str">
        <f t="shared" si="97"/>
        <v/>
      </c>
      <c r="K639" t="str">
        <f t="shared" si="98"/>
        <v/>
      </c>
      <c r="N639" t="str">
        <f t="shared" si="99"/>
        <v/>
      </c>
      <c r="P639" t="str">
        <f t="shared" si="100"/>
        <v/>
      </c>
      <c r="Q639" s="4" t="str">
        <f t="shared" si="101"/>
        <v/>
      </c>
      <c r="R639" t="str">
        <f t="shared" si="102"/>
        <v/>
      </c>
      <c r="S639" t="str">
        <f t="shared" si="103"/>
        <v/>
      </c>
      <c r="T639" t="str">
        <f>IF(C639="","",InventoryTable[[#This Row],[Profit per Unit]]*InventoryTable[[#This Row],[Total Pieces]])</f>
        <v/>
      </c>
      <c r="U639" t="str">
        <f t="shared" si="104"/>
        <v/>
      </c>
      <c r="V639" t="str">
        <f>IF(C639="","",H639-InventoryTable[[#This Row],[Units Sold]])</f>
        <v/>
      </c>
      <c r="W639" t="str">
        <f t="shared" si="105"/>
        <v/>
      </c>
      <c r="X639" t="str">
        <f t="shared" si="106"/>
        <v/>
      </c>
      <c r="Y639" t="str">
        <f>IF(C639="","",IF(InventoryTable[[#This Row],[Stock Balance]]&lt;=0,"Sold Out",IF((InventoryTable[[#This Row],[Stock Balance]]/InventoryTable[[#This Row],[Total Pieces]])&lt;=0.25,"Low on Stocks","Available")))</f>
        <v/>
      </c>
    </row>
    <row r="640" spans="1:25" x14ac:dyDescent="0.3">
      <c r="A640" t="str">
        <f>IF(C640="","",_xlfn.CONCAT(LEFT(InventoryTable[[#This Row],[Category]],1),InventoryTable[[#This Row],[Product Pricing Type]],ROW()))</f>
        <v/>
      </c>
      <c r="H640" t="str">
        <f t="shared" si="97"/>
        <v/>
      </c>
      <c r="K640" t="str">
        <f t="shared" si="98"/>
        <v/>
      </c>
      <c r="N640" t="str">
        <f t="shared" si="99"/>
        <v/>
      </c>
      <c r="P640" t="str">
        <f t="shared" si="100"/>
        <v/>
      </c>
      <c r="Q640" s="4" t="str">
        <f t="shared" si="101"/>
        <v/>
      </c>
      <c r="R640" t="str">
        <f t="shared" si="102"/>
        <v/>
      </c>
      <c r="S640" t="str">
        <f t="shared" si="103"/>
        <v/>
      </c>
      <c r="T640" t="str">
        <f>IF(C640="","",InventoryTable[[#This Row],[Profit per Unit]]*InventoryTable[[#This Row],[Total Pieces]])</f>
        <v/>
      </c>
      <c r="U640" t="str">
        <f t="shared" si="104"/>
        <v/>
      </c>
      <c r="V640" t="str">
        <f>IF(C640="","",H640-InventoryTable[[#This Row],[Units Sold]])</f>
        <v/>
      </c>
      <c r="W640" t="str">
        <f t="shared" si="105"/>
        <v/>
      </c>
      <c r="X640" t="str">
        <f t="shared" si="106"/>
        <v/>
      </c>
      <c r="Y640" t="str">
        <f>IF(C640="","",IF(InventoryTable[[#This Row],[Stock Balance]]&lt;=0,"Sold Out",IF((InventoryTable[[#This Row],[Stock Balance]]/InventoryTable[[#This Row],[Total Pieces]])&lt;=0.25,"Low on Stocks","Available")))</f>
        <v/>
      </c>
    </row>
    <row r="641" spans="1:25" x14ac:dyDescent="0.3">
      <c r="A641" t="str">
        <f>IF(C641="","",_xlfn.CONCAT(LEFT(InventoryTable[[#This Row],[Category]],1),InventoryTable[[#This Row],[Product Pricing Type]],ROW()))</f>
        <v/>
      </c>
      <c r="H641" t="str">
        <f t="shared" si="97"/>
        <v/>
      </c>
      <c r="K641" t="str">
        <f t="shared" si="98"/>
        <v/>
      </c>
      <c r="N641" t="str">
        <f t="shared" si="99"/>
        <v/>
      </c>
      <c r="P641" t="str">
        <f t="shared" si="100"/>
        <v/>
      </c>
      <c r="Q641" s="4" t="str">
        <f t="shared" si="101"/>
        <v/>
      </c>
      <c r="R641" t="str">
        <f t="shared" si="102"/>
        <v/>
      </c>
      <c r="S641" t="str">
        <f t="shared" si="103"/>
        <v/>
      </c>
      <c r="T641" t="str">
        <f>IF(C641="","",InventoryTable[[#This Row],[Profit per Unit]]*InventoryTable[[#This Row],[Total Pieces]])</f>
        <v/>
      </c>
      <c r="U641" t="str">
        <f t="shared" si="104"/>
        <v/>
      </c>
      <c r="V641" t="str">
        <f>IF(C641="","",H641-InventoryTable[[#This Row],[Units Sold]])</f>
        <v/>
      </c>
      <c r="W641" t="str">
        <f t="shared" si="105"/>
        <v/>
      </c>
      <c r="X641" t="str">
        <f t="shared" si="106"/>
        <v/>
      </c>
      <c r="Y641" t="str">
        <f>IF(C641="","",IF(InventoryTable[[#This Row],[Stock Balance]]&lt;=0,"Sold Out",IF((InventoryTable[[#This Row],[Stock Balance]]/InventoryTable[[#This Row],[Total Pieces]])&lt;=0.25,"Low on Stocks","Available")))</f>
        <v/>
      </c>
    </row>
    <row r="642" spans="1:25" x14ac:dyDescent="0.3">
      <c r="A642" t="str">
        <f>IF(C642="","",_xlfn.CONCAT(LEFT(InventoryTable[[#This Row],[Category]],1),InventoryTable[[#This Row],[Product Pricing Type]],ROW()))</f>
        <v/>
      </c>
      <c r="H642" t="str">
        <f t="shared" si="97"/>
        <v/>
      </c>
      <c r="K642" t="str">
        <f t="shared" si="98"/>
        <v/>
      </c>
      <c r="N642" t="str">
        <f t="shared" si="99"/>
        <v/>
      </c>
      <c r="P642" t="str">
        <f t="shared" si="100"/>
        <v/>
      </c>
      <c r="Q642" s="4" t="str">
        <f t="shared" si="101"/>
        <v/>
      </c>
      <c r="R642" t="str">
        <f t="shared" si="102"/>
        <v/>
      </c>
      <c r="S642" t="str">
        <f t="shared" si="103"/>
        <v/>
      </c>
      <c r="T642" t="str">
        <f>IF(C642="","",InventoryTable[[#This Row],[Profit per Unit]]*InventoryTable[[#This Row],[Total Pieces]])</f>
        <v/>
      </c>
      <c r="U642" t="str">
        <f t="shared" si="104"/>
        <v/>
      </c>
      <c r="V642" t="str">
        <f>IF(C642="","",H642-InventoryTable[[#This Row],[Units Sold]])</f>
        <v/>
      </c>
      <c r="W642" t="str">
        <f t="shared" si="105"/>
        <v/>
      </c>
      <c r="X642" t="str">
        <f t="shared" si="106"/>
        <v/>
      </c>
      <c r="Y642" t="str">
        <f>IF(C642="","",IF(InventoryTable[[#This Row],[Stock Balance]]&lt;=0,"Sold Out",IF((InventoryTable[[#This Row],[Stock Balance]]/InventoryTable[[#This Row],[Total Pieces]])&lt;=0.25,"Low on Stocks","Available")))</f>
        <v/>
      </c>
    </row>
    <row r="643" spans="1:25" x14ac:dyDescent="0.3">
      <c r="A643" t="str">
        <f>IF(C643="","",_xlfn.CONCAT(LEFT(InventoryTable[[#This Row],[Category]],1),InventoryTable[[#This Row],[Product Pricing Type]],ROW()))</f>
        <v/>
      </c>
      <c r="H643" t="str">
        <f t="shared" si="97"/>
        <v/>
      </c>
      <c r="K643" t="str">
        <f t="shared" si="98"/>
        <v/>
      </c>
      <c r="N643" t="str">
        <f t="shared" si="99"/>
        <v/>
      </c>
      <c r="P643" t="str">
        <f t="shared" si="100"/>
        <v/>
      </c>
      <c r="Q643" s="4" t="str">
        <f t="shared" si="101"/>
        <v/>
      </c>
      <c r="R643" t="str">
        <f t="shared" si="102"/>
        <v/>
      </c>
      <c r="S643" t="str">
        <f t="shared" si="103"/>
        <v/>
      </c>
      <c r="T643" t="str">
        <f>IF(C643="","",InventoryTable[[#This Row],[Profit per Unit]]*InventoryTable[[#This Row],[Total Pieces]])</f>
        <v/>
      </c>
      <c r="U643" t="str">
        <f t="shared" si="104"/>
        <v/>
      </c>
      <c r="V643" t="str">
        <f>IF(C643="","",H643-InventoryTable[[#This Row],[Units Sold]])</f>
        <v/>
      </c>
      <c r="W643" t="str">
        <f t="shared" si="105"/>
        <v/>
      </c>
      <c r="X643" t="str">
        <f t="shared" si="106"/>
        <v/>
      </c>
      <c r="Y643" t="str">
        <f>IF(C643="","",IF(InventoryTable[[#This Row],[Stock Balance]]&lt;=0,"Sold Out",IF((InventoryTable[[#This Row],[Stock Balance]]/InventoryTable[[#This Row],[Total Pieces]])&lt;=0.25,"Low on Stocks","Available")))</f>
        <v/>
      </c>
    </row>
    <row r="644" spans="1:25" x14ac:dyDescent="0.3">
      <c r="A644" t="str">
        <f>IF(C644="","",_xlfn.CONCAT(LEFT(InventoryTable[[#This Row],[Category]],1),InventoryTable[[#This Row],[Product Pricing Type]],ROW()))</f>
        <v/>
      </c>
      <c r="H644" t="str">
        <f t="shared" si="97"/>
        <v/>
      </c>
      <c r="K644" t="str">
        <f t="shared" si="98"/>
        <v/>
      </c>
      <c r="N644" t="str">
        <f t="shared" si="99"/>
        <v/>
      </c>
      <c r="P644" t="str">
        <f t="shared" si="100"/>
        <v/>
      </c>
      <c r="Q644" s="4" t="str">
        <f t="shared" si="101"/>
        <v/>
      </c>
      <c r="R644" t="str">
        <f t="shared" si="102"/>
        <v/>
      </c>
      <c r="S644" t="str">
        <f t="shared" si="103"/>
        <v/>
      </c>
      <c r="T644" t="str">
        <f>IF(C644="","",InventoryTable[[#This Row],[Profit per Unit]]*InventoryTable[[#This Row],[Total Pieces]])</f>
        <v/>
      </c>
      <c r="U644" t="str">
        <f t="shared" si="104"/>
        <v/>
      </c>
      <c r="V644" t="str">
        <f>IF(C644="","",H644-InventoryTable[[#This Row],[Units Sold]])</f>
        <v/>
      </c>
      <c r="W644" t="str">
        <f t="shared" si="105"/>
        <v/>
      </c>
      <c r="X644" t="str">
        <f t="shared" si="106"/>
        <v/>
      </c>
      <c r="Y644" t="str">
        <f>IF(C644="","",IF(InventoryTable[[#This Row],[Stock Balance]]&lt;=0,"Sold Out",IF((InventoryTable[[#This Row],[Stock Balance]]/InventoryTable[[#This Row],[Total Pieces]])&lt;=0.25,"Low on Stocks","Available")))</f>
        <v/>
      </c>
    </row>
    <row r="645" spans="1:25" x14ac:dyDescent="0.3">
      <c r="A645" t="str">
        <f>IF(C645="","",_xlfn.CONCAT(LEFT(InventoryTable[[#This Row],[Category]],1),InventoryTable[[#This Row],[Product Pricing Type]],ROW()))</f>
        <v/>
      </c>
      <c r="H645" t="str">
        <f t="shared" si="97"/>
        <v/>
      </c>
      <c r="K645" t="str">
        <f t="shared" si="98"/>
        <v/>
      </c>
      <c r="N645" t="str">
        <f t="shared" si="99"/>
        <v/>
      </c>
      <c r="P645" t="str">
        <f t="shared" si="100"/>
        <v/>
      </c>
      <c r="Q645" s="4" t="str">
        <f t="shared" si="101"/>
        <v/>
      </c>
      <c r="R645" t="str">
        <f t="shared" si="102"/>
        <v/>
      </c>
      <c r="S645" t="str">
        <f t="shared" si="103"/>
        <v/>
      </c>
      <c r="T645" t="str">
        <f>IF(C645="","",InventoryTable[[#This Row],[Profit per Unit]]*InventoryTable[[#This Row],[Total Pieces]])</f>
        <v/>
      </c>
      <c r="U645" t="str">
        <f t="shared" si="104"/>
        <v/>
      </c>
      <c r="V645" t="str">
        <f>IF(C645="","",H645-InventoryTable[[#This Row],[Units Sold]])</f>
        <v/>
      </c>
      <c r="W645" t="str">
        <f t="shared" si="105"/>
        <v/>
      </c>
      <c r="X645" t="str">
        <f t="shared" si="106"/>
        <v/>
      </c>
      <c r="Y645" t="str">
        <f>IF(C645="","",IF(InventoryTable[[#This Row],[Stock Balance]]&lt;=0,"Sold Out",IF((InventoryTable[[#This Row],[Stock Balance]]/InventoryTable[[#This Row],[Total Pieces]])&lt;=0.25,"Low on Stocks","Available")))</f>
        <v/>
      </c>
    </row>
    <row r="646" spans="1:25" x14ac:dyDescent="0.3">
      <c r="A646" t="str">
        <f>IF(C646="","",_xlfn.CONCAT(LEFT(InventoryTable[[#This Row],[Category]],1),InventoryTable[[#This Row],[Product Pricing Type]],ROW()))</f>
        <v/>
      </c>
      <c r="H646" t="str">
        <f t="shared" si="97"/>
        <v/>
      </c>
      <c r="K646" t="str">
        <f t="shared" si="98"/>
        <v/>
      </c>
      <c r="N646" t="str">
        <f t="shared" si="99"/>
        <v/>
      </c>
      <c r="P646" t="str">
        <f t="shared" si="100"/>
        <v/>
      </c>
      <c r="Q646" s="4" t="str">
        <f t="shared" si="101"/>
        <v/>
      </c>
      <c r="R646" t="str">
        <f t="shared" si="102"/>
        <v/>
      </c>
      <c r="S646" t="str">
        <f t="shared" si="103"/>
        <v/>
      </c>
      <c r="T646" t="str">
        <f>IF(C646="","",InventoryTable[[#This Row],[Profit per Unit]]*InventoryTable[[#This Row],[Total Pieces]])</f>
        <v/>
      </c>
      <c r="U646" t="str">
        <f t="shared" si="104"/>
        <v/>
      </c>
      <c r="V646" t="str">
        <f>IF(C646="","",H646-InventoryTable[[#This Row],[Units Sold]])</f>
        <v/>
      </c>
      <c r="W646" t="str">
        <f t="shared" si="105"/>
        <v/>
      </c>
      <c r="X646" t="str">
        <f t="shared" si="106"/>
        <v/>
      </c>
      <c r="Y646" t="str">
        <f>IF(C646="","",IF(InventoryTable[[#This Row],[Stock Balance]]&lt;=0,"Sold Out",IF((InventoryTable[[#This Row],[Stock Balance]]/InventoryTable[[#This Row],[Total Pieces]])&lt;=0.25,"Low on Stocks","Available")))</f>
        <v/>
      </c>
    </row>
    <row r="647" spans="1:25" x14ac:dyDescent="0.3">
      <c r="A647" t="str">
        <f>IF(C647="","",_xlfn.CONCAT(LEFT(InventoryTable[[#This Row],[Category]],1),InventoryTable[[#This Row],[Product Pricing Type]],ROW()))</f>
        <v/>
      </c>
      <c r="H647" t="str">
        <f t="shared" si="97"/>
        <v/>
      </c>
      <c r="K647" t="str">
        <f t="shared" si="98"/>
        <v/>
      </c>
      <c r="N647" t="str">
        <f t="shared" si="99"/>
        <v/>
      </c>
      <c r="P647" t="str">
        <f t="shared" si="100"/>
        <v/>
      </c>
      <c r="Q647" s="4" t="str">
        <f t="shared" si="101"/>
        <v/>
      </c>
      <c r="R647" t="str">
        <f t="shared" si="102"/>
        <v/>
      </c>
      <c r="S647" t="str">
        <f t="shared" si="103"/>
        <v/>
      </c>
      <c r="T647" t="str">
        <f>IF(C647="","",InventoryTable[[#This Row],[Profit per Unit]]*InventoryTable[[#This Row],[Total Pieces]])</f>
        <v/>
      </c>
      <c r="U647" t="str">
        <f t="shared" si="104"/>
        <v/>
      </c>
      <c r="V647" t="str">
        <f>IF(C647="","",H647-InventoryTable[[#This Row],[Units Sold]])</f>
        <v/>
      </c>
      <c r="W647" t="str">
        <f t="shared" si="105"/>
        <v/>
      </c>
      <c r="X647" t="str">
        <f t="shared" si="106"/>
        <v/>
      </c>
      <c r="Y647" t="str">
        <f>IF(C647="","",IF(InventoryTable[[#This Row],[Stock Balance]]&lt;=0,"Sold Out",IF((InventoryTable[[#This Row],[Stock Balance]]/InventoryTable[[#This Row],[Total Pieces]])&lt;=0.25,"Low on Stocks","Available")))</f>
        <v/>
      </c>
    </row>
    <row r="648" spans="1:25" x14ac:dyDescent="0.3">
      <c r="A648" t="str">
        <f>IF(C648="","",_xlfn.CONCAT(LEFT(InventoryTable[[#This Row],[Category]],1),InventoryTable[[#This Row],[Product Pricing Type]],ROW()))</f>
        <v/>
      </c>
      <c r="H648" t="str">
        <f t="shared" si="97"/>
        <v/>
      </c>
      <c r="K648" t="str">
        <f t="shared" si="98"/>
        <v/>
      </c>
      <c r="N648" t="str">
        <f t="shared" si="99"/>
        <v/>
      </c>
      <c r="P648" t="str">
        <f t="shared" si="100"/>
        <v/>
      </c>
      <c r="Q648" s="4" t="str">
        <f t="shared" si="101"/>
        <v/>
      </c>
      <c r="R648" t="str">
        <f t="shared" si="102"/>
        <v/>
      </c>
      <c r="S648" t="str">
        <f t="shared" si="103"/>
        <v/>
      </c>
      <c r="T648" t="str">
        <f>IF(C648="","",InventoryTable[[#This Row],[Profit per Unit]]*InventoryTable[[#This Row],[Total Pieces]])</f>
        <v/>
      </c>
      <c r="U648" t="str">
        <f t="shared" si="104"/>
        <v/>
      </c>
      <c r="V648" t="str">
        <f>IF(C648="","",H648-InventoryTable[[#This Row],[Units Sold]])</f>
        <v/>
      </c>
      <c r="W648" t="str">
        <f t="shared" si="105"/>
        <v/>
      </c>
      <c r="X648" t="str">
        <f t="shared" si="106"/>
        <v/>
      </c>
      <c r="Y648" t="str">
        <f>IF(C648="","",IF(InventoryTable[[#This Row],[Stock Balance]]&lt;=0,"Sold Out",IF((InventoryTable[[#This Row],[Stock Balance]]/InventoryTable[[#This Row],[Total Pieces]])&lt;=0.25,"Low on Stocks","Available")))</f>
        <v/>
      </c>
    </row>
    <row r="649" spans="1:25" x14ac:dyDescent="0.3">
      <c r="A649" t="str">
        <f>IF(C649="","",_xlfn.CONCAT(LEFT(InventoryTable[[#This Row],[Category]],1),InventoryTable[[#This Row],[Product Pricing Type]],ROW()))</f>
        <v/>
      </c>
      <c r="H649" t="str">
        <f t="shared" si="97"/>
        <v/>
      </c>
      <c r="K649" t="str">
        <f t="shared" si="98"/>
        <v/>
      </c>
      <c r="N649" t="str">
        <f t="shared" si="99"/>
        <v/>
      </c>
      <c r="P649" t="str">
        <f t="shared" si="100"/>
        <v/>
      </c>
      <c r="Q649" s="4" t="str">
        <f t="shared" si="101"/>
        <v/>
      </c>
      <c r="R649" t="str">
        <f t="shared" si="102"/>
        <v/>
      </c>
      <c r="S649" t="str">
        <f t="shared" si="103"/>
        <v/>
      </c>
      <c r="T649" t="str">
        <f>IF(C649="","",InventoryTable[[#This Row],[Profit per Unit]]*InventoryTable[[#This Row],[Total Pieces]])</f>
        <v/>
      </c>
      <c r="U649" t="str">
        <f t="shared" si="104"/>
        <v/>
      </c>
      <c r="V649" t="str">
        <f>IF(C649="","",H649-InventoryTable[[#This Row],[Units Sold]])</f>
        <v/>
      </c>
      <c r="W649" t="str">
        <f t="shared" si="105"/>
        <v/>
      </c>
      <c r="X649" t="str">
        <f t="shared" si="106"/>
        <v/>
      </c>
      <c r="Y649" t="str">
        <f>IF(C649="","",IF(InventoryTable[[#This Row],[Stock Balance]]&lt;=0,"Sold Out",IF((InventoryTable[[#This Row],[Stock Balance]]/InventoryTable[[#This Row],[Total Pieces]])&lt;=0.25,"Low on Stocks","Available")))</f>
        <v/>
      </c>
    </row>
    <row r="650" spans="1:25" x14ac:dyDescent="0.3">
      <c r="A650" t="str">
        <f>IF(C650="","",_xlfn.CONCAT(LEFT(InventoryTable[[#This Row],[Category]],1),InventoryTable[[#This Row],[Product Pricing Type]],ROW()))</f>
        <v/>
      </c>
      <c r="H650" t="str">
        <f t="shared" si="97"/>
        <v/>
      </c>
      <c r="K650" t="str">
        <f t="shared" si="98"/>
        <v/>
      </c>
      <c r="N650" t="str">
        <f t="shared" si="99"/>
        <v/>
      </c>
      <c r="P650" t="str">
        <f t="shared" si="100"/>
        <v/>
      </c>
      <c r="Q650" s="4" t="str">
        <f t="shared" si="101"/>
        <v/>
      </c>
      <c r="R650" t="str">
        <f t="shared" si="102"/>
        <v/>
      </c>
      <c r="S650" t="str">
        <f t="shared" si="103"/>
        <v/>
      </c>
      <c r="T650" t="str">
        <f>IF(C650="","",InventoryTable[[#This Row],[Profit per Unit]]*InventoryTable[[#This Row],[Total Pieces]])</f>
        <v/>
      </c>
      <c r="U650" t="str">
        <f t="shared" si="104"/>
        <v/>
      </c>
      <c r="V650" t="str">
        <f>IF(C650="","",H650-InventoryTable[[#This Row],[Units Sold]])</f>
        <v/>
      </c>
      <c r="W650" t="str">
        <f t="shared" si="105"/>
        <v/>
      </c>
      <c r="X650" t="str">
        <f t="shared" si="106"/>
        <v/>
      </c>
      <c r="Y650" t="str">
        <f>IF(C650="","",IF(InventoryTable[[#This Row],[Stock Balance]]&lt;=0,"Sold Out",IF((InventoryTable[[#This Row],[Stock Balance]]/InventoryTable[[#This Row],[Total Pieces]])&lt;=0.25,"Low on Stocks","Available")))</f>
        <v/>
      </c>
    </row>
    <row r="651" spans="1:25" x14ac:dyDescent="0.3">
      <c r="A651" t="str">
        <f>IF(C651="","",_xlfn.CONCAT(LEFT(InventoryTable[[#This Row],[Category]],1),InventoryTable[[#This Row],[Product Pricing Type]],ROW()))</f>
        <v/>
      </c>
      <c r="H651" t="str">
        <f t="shared" si="97"/>
        <v/>
      </c>
      <c r="K651" t="str">
        <f t="shared" si="98"/>
        <v/>
      </c>
      <c r="N651" t="str">
        <f t="shared" si="99"/>
        <v/>
      </c>
      <c r="P651" t="str">
        <f t="shared" si="100"/>
        <v/>
      </c>
      <c r="Q651" s="4" t="str">
        <f t="shared" si="101"/>
        <v/>
      </c>
      <c r="R651" t="str">
        <f t="shared" si="102"/>
        <v/>
      </c>
      <c r="S651" t="str">
        <f t="shared" si="103"/>
        <v/>
      </c>
      <c r="T651" t="str">
        <f>IF(C651="","",InventoryTable[[#This Row],[Profit per Unit]]*InventoryTable[[#This Row],[Total Pieces]])</f>
        <v/>
      </c>
      <c r="U651" t="str">
        <f t="shared" si="104"/>
        <v/>
      </c>
      <c r="V651" t="str">
        <f>IF(C651="","",H651-InventoryTable[[#This Row],[Units Sold]])</f>
        <v/>
      </c>
      <c r="W651" t="str">
        <f t="shared" si="105"/>
        <v/>
      </c>
      <c r="X651" t="str">
        <f t="shared" si="106"/>
        <v/>
      </c>
      <c r="Y651" t="str">
        <f>IF(C651="","",IF(InventoryTable[[#This Row],[Stock Balance]]&lt;=0,"Sold Out",IF((InventoryTable[[#This Row],[Stock Balance]]/InventoryTable[[#This Row],[Total Pieces]])&lt;=0.25,"Low on Stocks","Available")))</f>
        <v/>
      </c>
    </row>
    <row r="652" spans="1:25" x14ac:dyDescent="0.3">
      <c r="A652" t="str">
        <f>IF(C652="","",_xlfn.CONCAT(LEFT(InventoryTable[[#This Row],[Category]],1),InventoryTable[[#This Row],[Product Pricing Type]],ROW()))</f>
        <v/>
      </c>
      <c r="H652" t="str">
        <f t="shared" si="97"/>
        <v/>
      </c>
      <c r="K652" t="str">
        <f t="shared" si="98"/>
        <v/>
      </c>
      <c r="N652" t="str">
        <f t="shared" si="99"/>
        <v/>
      </c>
      <c r="P652" t="str">
        <f t="shared" si="100"/>
        <v/>
      </c>
      <c r="Q652" s="4" t="str">
        <f t="shared" si="101"/>
        <v/>
      </c>
      <c r="R652" t="str">
        <f t="shared" si="102"/>
        <v/>
      </c>
      <c r="S652" t="str">
        <f t="shared" si="103"/>
        <v/>
      </c>
      <c r="T652" t="str">
        <f>IF(C652="","",InventoryTable[[#This Row],[Profit per Unit]]*InventoryTable[[#This Row],[Total Pieces]])</f>
        <v/>
      </c>
      <c r="U652" t="str">
        <f t="shared" si="104"/>
        <v/>
      </c>
      <c r="V652" t="str">
        <f>IF(C652="","",H652-InventoryTable[[#This Row],[Units Sold]])</f>
        <v/>
      </c>
      <c r="W652" t="str">
        <f t="shared" si="105"/>
        <v/>
      </c>
      <c r="X652" t="str">
        <f t="shared" si="106"/>
        <v/>
      </c>
      <c r="Y652" t="str">
        <f>IF(C652="","",IF(InventoryTable[[#This Row],[Stock Balance]]&lt;=0,"Sold Out",IF((InventoryTable[[#This Row],[Stock Balance]]/InventoryTable[[#This Row],[Total Pieces]])&lt;=0.25,"Low on Stocks","Available")))</f>
        <v/>
      </c>
    </row>
    <row r="653" spans="1:25" x14ac:dyDescent="0.3">
      <c r="A653" t="str">
        <f>IF(C653="","",_xlfn.CONCAT(LEFT(InventoryTable[[#This Row],[Category]],1),InventoryTable[[#This Row],[Product Pricing Type]],ROW()))</f>
        <v/>
      </c>
      <c r="H653" t="str">
        <f t="shared" si="97"/>
        <v/>
      </c>
      <c r="K653" t="str">
        <f t="shared" si="98"/>
        <v/>
      </c>
      <c r="N653" t="str">
        <f t="shared" si="99"/>
        <v/>
      </c>
      <c r="P653" t="str">
        <f t="shared" si="100"/>
        <v/>
      </c>
      <c r="Q653" s="4" t="str">
        <f t="shared" si="101"/>
        <v/>
      </c>
      <c r="R653" t="str">
        <f t="shared" si="102"/>
        <v/>
      </c>
      <c r="S653" t="str">
        <f t="shared" si="103"/>
        <v/>
      </c>
      <c r="T653" t="str">
        <f>IF(C653="","",InventoryTable[[#This Row],[Profit per Unit]]*InventoryTable[[#This Row],[Total Pieces]])</f>
        <v/>
      </c>
      <c r="U653" t="str">
        <f t="shared" si="104"/>
        <v/>
      </c>
      <c r="V653" t="str">
        <f>IF(C653="","",H653-InventoryTable[[#This Row],[Units Sold]])</f>
        <v/>
      </c>
      <c r="W653" t="str">
        <f t="shared" si="105"/>
        <v/>
      </c>
      <c r="X653" t="str">
        <f t="shared" si="106"/>
        <v/>
      </c>
      <c r="Y653" t="str">
        <f>IF(C653="","",IF(InventoryTable[[#This Row],[Stock Balance]]&lt;=0,"Sold Out",IF((InventoryTable[[#This Row],[Stock Balance]]/InventoryTable[[#This Row],[Total Pieces]])&lt;=0.25,"Low on Stocks","Available")))</f>
        <v/>
      </c>
    </row>
    <row r="654" spans="1:25" x14ac:dyDescent="0.3">
      <c r="A654" t="str">
        <f>IF(C654="","",_xlfn.CONCAT(LEFT(InventoryTable[[#This Row],[Category]],1),InventoryTable[[#This Row],[Product Pricing Type]],ROW()))</f>
        <v/>
      </c>
      <c r="H654" t="str">
        <f t="shared" si="97"/>
        <v/>
      </c>
      <c r="K654" t="str">
        <f t="shared" si="98"/>
        <v/>
      </c>
      <c r="N654" t="str">
        <f t="shared" si="99"/>
        <v/>
      </c>
      <c r="P654" t="str">
        <f t="shared" si="100"/>
        <v/>
      </c>
      <c r="Q654" s="4" t="str">
        <f t="shared" si="101"/>
        <v/>
      </c>
      <c r="R654" t="str">
        <f t="shared" si="102"/>
        <v/>
      </c>
      <c r="S654" t="str">
        <f t="shared" si="103"/>
        <v/>
      </c>
      <c r="T654" t="str">
        <f>IF(C654="","",InventoryTable[[#This Row],[Profit per Unit]]*InventoryTable[[#This Row],[Total Pieces]])</f>
        <v/>
      </c>
      <c r="U654" t="str">
        <f t="shared" si="104"/>
        <v/>
      </c>
      <c r="V654" t="str">
        <f>IF(C654="","",H654-InventoryTable[[#This Row],[Units Sold]])</f>
        <v/>
      </c>
      <c r="W654" t="str">
        <f t="shared" si="105"/>
        <v/>
      </c>
      <c r="X654" t="str">
        <f t="shared" si="106"/>
        <v/>
      </c>
      <c r="Y654" t="str">
        <f>IF(C654="","",IF(InventoryTable[[#This Row],[Stock Balance]]&lt;=0,"Sold Out",IF((InventoryTable[[#This Row],[Stock Balance]]/InventoryTable[[#This Row],[Total Pieces]])&lt;=0.25,"Low on Stocks","Available")))</f>
        <v/>
      </c>
    </row>
    <row r="655" spans="1:25" x14ac:dyDescent="0.3">
      <c r="A655" t="str">
        <f>IF(C655="","",_xlfn.CONCAT(LEFT(InventoryTable[[#This Row],[Category]],1),InventoryTable[[#This Row],[Product Pricing Type]],ROW()))</f>
        <v/>
      </c>
      <c r="H655" t="str">
        <f t="shared" si="97"/>
        <v/>
      </c>
      <c r="K655" t="str">
        <f t="shared" si="98"/>
        <v/>
      </c>
      <c r="N655" t="str">
        <f t="shared" si="99"/>
        <v/>
      </c>
      <c r="P655" t="str">
        <f t="shared" si="100"/>
        <v/>
      </c>
      <c r="Q655" s="4" t="str">
        <f t="shared" si="101"/>
        <v/>
      </c>
      <c r="R655" t="str">
        <f t="shared" si="102"/>
        <v/>
      </c>
      <c r="S655" t="str">
        <f t="shared" si="103"/>
        <v/>
      </c>
      <c r="T655" t="str">
        <f>IF(C655="","",InventoryTable[[#This Row],[Profit per Unit]]*InventoryTable[[#This Row],[Total Pieces]])</f>
        <v/>
      </c>
      <c r="U655" t="str">
        <f t="shared" si="104"/>
        <v/>
      </c>
      <c r="V655" t="str">
        <f>IF(C655="","",H655-InventoryTable[[#This Row],[Units Sold]])</f>
        <v/>
      </c>
      <c r="W655" t="str">
        <f t="shared" si="105"/>
        <v/>
      </c>
      <c r="X655" t="str">
        <f t="shared" si="106"/>
        <v/>
      </c>
      <c r="Y655" t="str">
        <f>IF(C655="","",IF(InventoryTable[[#This Row],[Stock Balance]]&lt;=0,"Sold Out",IF((InventoryTable[[#This Row],[Stock Balance]]/InventoryTable[[#This Row],[Total Pieces]])&lt;=0.25,"Low on Stocks","Available")))</f>
        <v/>
      </c>
    </row>
    <row r="656" spans="1:25" x14ac:dyDescent="0.3">
      <c r="A656" t="str">
        <f>IF(C656="","",_xlfn.CONCAT(LEFT(InventoryTable[[#This Row],[Category]],1),InventoryTable[[#This Row],[Product Pricing Type]],ROW()))</f>
        <v/>
      </c>
      <c r="H656" t="str">
        <f t="shared" si="97"/>
        <v/>
      </c>
      <c r="K656" t="str">
        <f t="shared" si="98"/>
        <v/>
      </c>
      <c r="N656" t="str">
        <f t="shared" si="99"/>
        <v/>
      </c>
      <c r="P656" t="str">
        <f t="shared" si="100"/>
        <v/>
      </c>
      <c r="Q656" s="4" t="str">
        <f t="shared" si="101"/>
        <v/>
      </c>
      <c r="R656" t="str">
        <f t="shared" si="102"/>
        <v/>
      </c>
      <c r="S656" t="str">
        <f t="shared" si="103"/>
        <v/>
      </c>
      <c r="T656" t="str">
        <f>IF(C656="","",InventoryTable[[#This Row],[Profit per Unit]]*InventoryTable[[#This Row],[Total Pieces]])</f>
        <v/>
      </c>
      <c r="U656" t="str">
        <f t="shared" si="104"/>
        <v/>
      </c>
      <c r="V656" t="str">
        <f>IF(C656="","",H656-InventoryTable[[#This Row],[Units Sold]])</f>
        <v/>
      </c>
      <c r="W656" t="str">
        <f t="shared" si="105"/>
        <v/>
      </c>
      <c r="X656" t="str">
        <f t="shared" si="106"/>
        <v/>
      </c>
      <c r="Y656" t="str">
        <f>IF(C656="","",IF(InventoryTable[[#This Row],[Stock Balance]]&lt;=0,"Sold Out",IF((InventoryTable[[#This Row],[Stock Balance]]/InventoryTable[[#This Row],[Total Pieces]])&lt;=0.25,"Low on Stocks","Available")))</f>
        <v/>
      </c>
    </row>
    <row r="657" spans="1:25" x14ac:dyDescent="0.3">
      <c r="A657" t="str">
        <f>IF(C657="","",_xlfn.CONCAT(LEFT(InventoryTable[[#This Row],[Category]],1),InventoryTable[[#This Row],[Product Pricing Type]],ROW()))</f>
        <v/>
      </c>
      <c r="H657" t="str">
        <f t="shared" si="97"/>
        <v/>
      </c>
      <c r="K657" t="str">
        <f t="shared" si="98"/>
        <v/>
      </c>
      <c r="N657" t="str">
        <f t="shared" si="99"/>
        <v/>
      </c>
      <c r="P657" t="str">
        <f t="shared" si="100"/>
        <v/>
      </c>
      <c r="Q657" s="4" t="str">
        <f t="shared" si="101"/>
        <v/>
      </c>
      <c r="R657" t="str">
        <f t="shared" si="102"/>
        <v/>
      </c>
      <c r="S657" t="str">
        <f t="shared" si="103"/>
        <v/>
      </c>
      <c r="T657" t="str">
        <f>IF(C657="","",InventoryTable[[#This Row],[Profit per Unit]]*InventoryTable[[#This Row],[Total Pieces]])</f>
        <v/>
      </c>
      <c r="U657" t="str">
        <f t="shared" si="104"/>
        <v/>
      </c>
      <c r="V657" t="str">
        <f>IF(C657="","",H657-InventoryTable[[#This Row],[Units Sold]])</f>
        <v/>
      </c>
      <c r="W657" t="str">
        <f t="shared" si="105"/>
        <v/>
      </c>
      <c r="X657" t="str">
        <f t="shared" si="106"/>
        <v/>
      </c>
      <c r="Y657" t="str">
        <f>IF(C657="","",IF(InventoryTable[[#This Row],[Stock Balance]]&lt;=0,"Sold Out",IF((InventoryTable[[#This Row],[Stock Balance]]/InventoryTable[[#This Row],[Total Pieces]])&lt;=0.25,"Low on Stocks","Available")))</f>
        <v/>
      </c>
    </row>
    <row r="658" spans="1:25" x14ac:dyDescent="0.3">
      <c r="A658" t="str">
        <f>IF(C658="","",_xlfn.CONCAT(LEFT(InventoryTable[[#This Row],[Category]],1),InventoryTable[[#This Row],[Product Pricing Type]],ROW()))</f>
        <v/>
      </c>
      <c r="H658" t="str">
        <f t="shared" si="97"/>
        <v/>
      </c>
      <c r="K658" t="str">
        <f t="shared" si="98"/>
        <v/>
      </c>
      <c r="N658" t="str">
        <f t="shared" si="99"/>
        <v/>
      </c>
      <c r="P658" t="str">
        <f t="shared" si="100"/>
        <v/>
      </c>
      <c r="Q658" s="4" t="str">
        <f t="shared" si="101"/>
        <v/>
      </c>
      <c r="R658" t="str">
        <f t="shared" si="102"/>
        <v/>
      </c>
      <c r="S658" t="str">
        <f t="shared" si="103"/>
        <v/>
      </c>
      <c r="T658" t="str">
        <f>IF(C658="","",InventoryTable[[#This Row],[Profit per Unit]]*InventoryTable[[#This Row],[Total Pieces]])</f>
        <v/>
      </c>
      <c r="U658" t="str">
        <f t="shared" si="104"/>
        <v/>
      </c>
      <c r="V658" t="str">
        <f>IF(C658="","",H658-InventoryTable[[#This Row],[Units Sold]])</f>
        <v/>
      </c>
      <c r="W658" t="str">
        <f t="shared" si="105"/>
        <v/>
      </c>
      <c r="X658" t="str">
        <f t="shared" si="106"/>
        <v/>
      </c>
      <c r="Y658" t="str">
        <f>IF(C658="","",IF(InventoryTable[[#This Row],[Stock Balance]]&lt;=0,"Sold Out",IF((InventoryTable[[#This Row],[Stock Balance]]/InventoryTable[[#This Row],[Total Pieces]])&lt;=0.25,"Low on Stocks","Available")))</f>
        <v/>
      </c>
    </row>
    <row r="659" spans="1:25" x14ac:dyDescent="0.3">
      <c r="A659" t="str">
        <f>IF(C659="","",_xlfn.CONCAT(LEFT(InventoryTable[[#This Row],[Category]],1),InventoryTable[[#This Row],[Product Pricing Type]],ROW()))</f>
        <v/>
      </c>
      <c r="H659" t="str">
        <f t="shared" si="97"/>
        <v/>
      </c>
      <c r="K659" t="str">
        <f t="shared" si="98"/>
        <v/>
      </c>
      <c r="N659" t="str">
        <f t="shared" si="99"/>
        <v/>
      </c>
      <c r="P659" t="str">
        <f t="shared" si="100"/>
        <v/>
      </c>
      <c r="Q659" s="4" t="str">
        <f t="shared" si="101"/>
        <v/>
      </c>
      <c r="R659" t="str">
        <f t="shared" si="102"/>
        <v/>
      </c>
      <c r="S659" t="str">
        <f t="shared" si="103"/>
        <v/>
      </c>
      <c r="T659" t="str">
        <f>IF(C659="","",InventoryTable[[#This Row],[Profit per Unit]]*InventoryTable[[#This Row],[Total Pieces]])</f>
        <v/>
      </c>
      <c r="U659" t="str">
        <f t="shared" si="104"/>
        <v/>
      </c>
      <c r="V659" t="str">
        <f>IF(C659="","",H659-InventoryTable[[#This Row],[Units Sold]])</f>
        <v/>
      </c>
      <c r="W659" t="str">
        <f t="shared" si="105"/>
        <v/>
      </c>
      <c r="X659" t="str">
        <f t="shared" si="106"/>
        <v/>
      </c>
      <c r="Y659" t="str">
        <f>IF(C659="","",IF(InventoryTable[[#This Row],[Stock Balance]]&lt;=0,"Sold Out",IF((InventoryTable[[#This Row],[Stock Balance]]/InventoryTable[[#This Row],[Total Pieces]])&lt;=0.25,"Low on Stocks","Available")))</f>
        <v/>
      </c>
    </row>
    <row r="660" spans="1:25" x14ac:dyDescent="0.3">
      <c r="A660" t="str">
        <f>IF(C660="","",_xlfn.CONCAT(LEFT(InventoryTable[[#This Row],[Category]],1),InventoryTable[[#This Row],[Product Pricing Type]],ROW()))</f>
        <v/>
      </c>
      <c r="H660" t="str">
        <f t="shared" si="97"/>
        <v/>
      </c>
      <c r="K660" t="str">
        <f t="shared" si="98"/>
        <v/>
      </c>
      <c r="N660" t="str">
        <f t="shared" si="99"/>
        <v/>
      </c>
      <c r="P660" t="str">
        <f t="shared" si="100"/>
        <v/>
      </c>
      <c r="Q660" s="4" t="str">
        <f t="shared" si="101"/>
        <v/>
      </c>
      <c r="R660" t="str">
        <f t="shared" si="102"/>
        <v/>
      </c>
      <c r="S660" t="str">
        <f t="shared" si="103"/>
        <v/>
      </c>
      <c r="T660" t="str">
        <f>IF(C660="","",InventoryTable[[#This Row],[Profit per Unit]]*InventoryTable[[#This Row],[Total Pieces]])</f>
        <v/>
      </c>
      <c r="U660" t="str">
        <f t="shared" si="104"/>
        <v/>
      </c>
      <c r="V660" t="str">
        <f>IF(C660="","",H660-InventoryTable[[#This Row],[Units Sold]])</f>
        <v/>
      </c>
      <c r="W660" t="str">
        <f t="shared" si="105"/>
        <v/>
      </c>
      <c r="X660" t="str">
        <f t="shared" si="106"/>
        <v/>
      </c>
      <c r="Y660" t="str">
        <f>IF(C660="","",IF(InventoryTable[[#This Row],[Stock Balance]]&lt;=0,"Sold Out",IF((InventoryTable[[#This Row],[Stock Balance]]/InventoryTable[[#This Row],[Total Pieces]])&lt;=0.25,"Low on Stocks","Available")))</f>
        <v/>
      </c>
    </row>
    <row r="661" spans="1:25" x14ac:dyDescent="0.3">
      <c r="A661" t="str">
        <f>IF(C661="","",_xlfn.CONCAT(LEFT(InventoryTable[[#This Row],[Category]],1),InventoryTable[[#This Row],[Product Pricing Type]],ROW()))</f>
        <v/>
      </c>
      <c r="H661" t="str">
        <f t="shared" si="97"/>
        <v/>
      </c>
      <c r="K661" t="str">
        <f t="shared" si="98"/>
        <v/>
      </c>
      <c r="N661" t="str">
        <f t="shared" si="99"/>
        <v/>
      </c>
      <c r="P661" t="str">
        <f t="shared" si="100"/>
        <v/>
      </c>
      <c r="Q661" s="4" t="str">
        <f t="shared" si="101"/>
        <v/>
      </c>
      <c r="R661" t="str">
        <f t="shared" si="102"/>
        <v/>
      </c>
      <c r="S661" t="str">
        <f t="shared" si="103"/>
        <v/>
      </c>
      <c r="T661" t="str">
        <f>IF(C661="","",InventoryTable[[#This Row],[Profit per Unit]]*InventoryTable[[#This Row],[Total Pieces]])</f>
        <v/>
      </c>
      <c r="U661" t="str">
        <f t="shared" si="104"/>
        <v/>
      </c>
      <c r="V661" t="str">
        <f>IF(C661="","",H661-InventoryTable[[#This Row],[Units Sold]])</f>
        <v/>
      </c>
      <c r="W661" t="str">
        <f t="shared" si="105"/>
        <v/>
      </c>
      <c r="X661" t="str">
        <f t="shared" si="106"/>
        <v/>
      </c>
      <c r="Y661" t="str">
        <f>IF(C661="","",IF(InventoryTable[[#This Row],[Stock Balance]]&lt;=0,"Sold Out",IF((InventoryTable[[#This Row],[Stock Balance]]/InventoryTable[[#This Row],[Total Pieces]])&lt;=0.25,"Low on Stocks","Available")))</f>
        <v/>
      </c>
    </row>
    <row r="662" spans="1:25" x14ac:dyDescent="0.3">
      <c r="A662" t="str">
        <f>IF(C662="","",_xlfn.CONCAT(LEFT(InventoryTable[[#This Row],[Category]],1),InventoryTable[[#This Row],[Product Pricing Type]],ROW()))</f>
        <v/>
      </c>
      <c r="H662" t="str">
        <f t="shared" si="97"/>
        <v/>
      </c>
      <c r="K662" t="str">
        <f t="shared" si="98"/>
        <v/>
      </c>
      <c r="N662" t="str">
        <f t="shared" si="99"/>
        <v/>
      </c>
      <c r="P662" t="str">
        <f t="shared" si="100"/>
        <v/>
      </c>
      <c r="Q662" s="4" t="str">
        <f t="shared" si="101"/>
        <v/>
      </c>
      <c r="R662" t="str">
        <f t="shared" si="102"/>
        <v/>
      </c>
      <c r="S662" t="str">
        <f t="shared" si="103"/>
        <v/>
      </c>
      <c r="T662" t="str">
        <f>IF(C662="","",InventoryTable[[#This Row],[Profit per Unit]]*InventoryTable[[#This Row],[Total Pieces]])</f>
        <v/>
      </c>
      <c r="U662" t="str">
        <f t="shared" si="104"/>
        <v/>
      </c>
      <c r="V662" t="str">
        <f>IF(C662="","",H662-InventoryTable[[#This Row],[Units Sold]])</f>
        <v/>
      </c>
      <c r="W662" t="str">
        <f t="shared" si="105"/>
        <v/>
      </c>
      <c r="X662" t="str">
        <f t="shared" si="106"/>
        <v/>
      </c>
      <c r="Y662" t="str">
        <f>IF(C662="","",IF(InventoryTable[[#This Row],[Stock Balance]]&lt;=0,"Sold Out",IF((InventoryTable[[#This Row],[Stock Balance]]/InventoryTable[[#This Row],[Total Pieces]])&lt;=0.25,"Low on Stocks","Available")))</f>
        <v/>
      </c>
    </row>
    <row r="663" spans="1:25" x14ac:dyDescent="0.3">
      <c r="A663" t="str">
        <f>IF(C663="","",_xlfn.CONCAT(LEFT(InventoryTable[[#This Row],[Category]],1),InventoryTable[[#This Row],[Product Pricing Type]],ROW()))</f>
        <v/>
      </c>
      <c r="H663" t="str">
        <f t="shared" si="97"/>
        <v/>
      </c>
      <c r="K663" t="str">
        <f t="shared" si="98"/>
        <v/>
      </c>
      <c r="N663" t="str">
        <f t="shared" si="99"/>
        <v/>
      </c>
      <c r="P663" t="str">
        <f t="shared" si="100"/>
        <v/>
      </c>
      <c r="Q663" s="4" t="str">
        <f t="shared" si="101"/>
        <v/>
      </c>
      <c r="R663" t="str">
        <f t="shared" si="102"/>
        <v/>
      </c>
      <c r="S663" t="str">
        <f t="shared" si="103"/>
        <v/>
      </c>
      <c r="T663" t="str">
        <f>IF(C663="","",InventoryTable[[#This Row],[Profit per Unit]]*InventoryTable[[#This Row],[Total Pieces]])</f>
        <v/>
      </c>
      <c r="U663" t="str">
        <f t="shared" si="104"/>
        <v/>
      </c>
      <c r="V663" t="str">
        <f>IF(C663="","",H663-InventoryTable[[#This Row],[Units Sold]])</f>
        <v/>
      </c>
      <c r="W663" t="str">
        <f t="shared" si="105"/>
        <v/>
      </c>
      <c r="X663" t="str">
        <f t="shared" si="106"/>
        <v/>
      </c>
      <c r="Y663" t="str">
        <f>IF(C663="","",IF(InventoryTable[[#This Row],[Stock Balance]]&lt;=0,"Sold Out",IF((InventoryTable[[#This Row],[Stock Balance]]/InventoryTable[[#This Row],[Total Pieces]])&lt;=0.25,"Low on Stocks","Available")))</f>
        <v/>
      </c>
    </row>
    <row r="664" spans="1:25" x14ac:dyDescent="0.3">
      <c r="A664" t="str">
        <f>IF(C664="","",_xlfn.CONCAT(LEFT(InventoryTable[[#This Row],[Category]],1),InventoryTable[[#This Row],[Product Pricing Type]],ROW()))</f>
        <v/>
      </c>
      <c r="H664" t="str">
        <f t="shared" si="97"/>
        <v/>
      </c>
      <c r="K664" t="str">
        <f t="shared" si="98"/>
        <v/>
      </c>
      <c r="N664" t="str">
        <f t="shared" si="99"/>
        <v/>
      </c>
      <c r="P664" t="str">
        <f t="shared" si="100"/>
        <v/>
      </c>
      <c r="Q664" s="4" t="str">
        <f t="shared" si="101"/>
        <v/>
      </c>
      <c r="R664" t="str">
        <f t="shared" si="102"/>
        <v/>
      </c>
      <c r="S664" t="str">
        <f t="shared" si="103"/>
        <v/>
      </c>
      <c r="T664" t="str">
        <f>IF(C664="","",InventoryTable[[#This Row],[Profit per Unit]]*InventoryTable[[#This Row],[Total Pieces]])</f>
        <v/>
      </c>
      <c r="U664" t="str">
        <f t="shared" si="104"/>
        <v/>
      </c>
      <c r="V664" t="str">
        <f>IF(C664="","",H664-InventoryTable[[#This Row],[Units Sold]])</f>
        <v/>
      </c>
      <c r="W664" t="str">
        <f t="shared" si="105"/>
        <v/>
      </c>
      <c r="X664" t="str">
        <f t="shared" si="106"/>
        <v/>
      </c>
      <c r="Y664" t="str">
        <f>IF(C664="","",IF(InventoryTable[[#This Row],[Stock Balance]]&lt;=0,"Sold Out",IF((InventoryTable[[#This Row],[Stock Balance]]/InventoryTable[[#This Row],[Total Pieces]])&lt;=0.25,"Low on Stocks","Available")))</f>
        <v/>
      </c>
    </row>
    <row r="665" spans="1:25" x14ac:dyDescent="0.3">
      <c r="A665" t="str">
        <f>IF(C665="","",_xlfn.CONCAT(LEFT(InventoryTable[[#This Row],[Category]],1),InventoryTable[[#This Row],[Product Pricing Type]],ROW()))</f>
        <v/>
      </c>
      <c r="H665" t="str">
        <f t="shared" si="97"/>
        <v/>
      </c>
      <c r="K665" t="str">
        <f t="shared" si="98"/>
        <v/>
      </c>
      <c r="N665" t="str">
        <f t="shared" si="99"/>
        <v/>
      </c>
      <c r="P665" t="str">
        <f t="shared" si="100"/>
        <v/>
      </c>
      <c r="Q665" s="4" t="str">
        <f t="shared" si="101"/>
        <v/>
      </c>
      <c r="R665" t="str">
        <f t="shared" si="102"/>
        <v/>
      </c>
      <c r="S665" t="str">
        <f t="shared" si="103"/>
        <v/>
      </c>
      <c r="T665" t="str">
        <f>IF(C665="","",InventoryTable[[#This Row],[Profit per Unit]]*InventoryTable[[#This Row],[Total Pieces]])</f>
        <v/>
      </c>
      <c r="U665" t="str">
        <f t="shared" si="104"/>
        <v/>
      </c>
      <c r="V665" t="str">
        <f>IF(C665="","",H665-InventoryTable[[#This Row],[Units Sold]])</f>
        <v/>
      </c>
      <c r="W665" t="str">
        <f t="shared" si="105"/>
        <v/>
      </c>
      <c r="X665" t="str">
        <f t="shared" si="106"/>
        <v/>
      </c>
      <c r="Y665" t="str">
        <f>IF(C665="","",IF(InventoryTable[[#This Row],[Stock Balance]]&lt;=0,"Sold Out",IF((InventoryTable[[#This Row],[Stock Balance]]/InventoryTable[[#This Row],[Total Pieces]])&lt;=0.25,"Low on Stocks","Available")))</f>
        <v/>
      </c>
    </row>
    <row r="666" spans="1:25" x14ac:dyDescent="0.3">
      <c r="A666" t="str">
        <f>IF(C666="","",_xlfn.CONCAT(LEFT(InventoryTable[[#This Row],[Category]],1),InventoryTable[[#This Row],[Product Pricing Type]],ROW()))</f>
        <v/>
      </c>
      <c r="H666" t="str">
        <f t="shared" si="97"/>
        <v/>
      </c>
      <c r="K666" t="str">
        <f t="shared" si="98"/>
        <v/>
      </c>
      <c r="N666" t="str">
        <f t="shared" si="99"/>
        <v/>
      </c>
      <c r="P666" t="str">
        <f t="shared" si="100"/>
        <v/>
      </c>
      <c r="Q666" s="4" t="str">
        <f t="shared" si="101"/>
        <v/>
      </c>
      <c r="R666" t="str">
        <f t="shared" si="102"/>
        <v/>
      </c>
      <c r="S666" t="str">
        <f t="shared" si="103"/>
        <v/>
      </c>
      <c r="T666" t="str">
        <f>IF(C666="","",InventoryTable[[#This Row],[Profit per Unit]]*InventoryTable[[#This Row],[Total Pieces]])</f>
        <v/>
      </c>
      <c r="U666" t="str">
        <f t="shared" si="104"/>
        <v/>
      </c>
      <c r="V666" t="str">
        <f>IF(C666="","",H666-InventoryTable[[#This Row],[Units Sold]])</f>
        <v/>
      </c>
      <c r="W666" t="str">
        <f t="shared" si="105"/>
        <v/>
      </c>
      <c r="X666" t="str">
        <f t="shared" si="106"/>
        <v/>
      </c>
      <c r="Y666" t="str">
        <f>IF(C666="","",IF(InventoryTable[[#This Row],[Stock Balance]]&lt;=0,"Sold Out",IF((InventoryTable[[#This Row],[Stock Balance]]/InventoryTable[[#This Row],[Total Pieces]])&lt;=0.25,"Low on Stocks","Available")))</f>
        <v/>
      </c>
    </row>
    <row r="667" spans="1:25" x14ac:dyDescent="0.3">
      <c r="A667" t="str">
        <f>IF(C667="","",_xlfn.CONCAT(LEFT(InventoryTable[[#This Row],[Category]],1),InventoryTable[[#This Row],[Product Pricing Type]],ROW()))</f>
        <v/>
      </c>
      <c r="H667" t="str">
        <f t="shared" si="97"/>
        <v/>
      </c>
      <c r="K667" t="str">
        <f t="shared" si="98"/>
        <v/>
      </c>
      <c r="N667" t="str">
        <f t="shared" si="99"/>
        <v/>
      </c>
      <c r="P667" t="str">
        <f t="shared" si="100"/>
        <v/>
      </c>
      <c r="Q667" s="4" t="str">
        <f t="shared" si="101"/>
        <v/>
      </c>
      <c r="R667" t="str">
        <f t="shared" si="102"/>
        <v/>
      </c>
      <c r="S667" t="str">
        <f t="shared" si="103"/>
        <v/>
      </c>
      <c r="T667" t="str">
        <f>IF(C667="","",InventoryTable[[#This Row],[Profit per Unit]]*InventoryTable[[#This Row],[Total Pieces]])</f>
        <v/>
      </c>
      <c r="U667" t="str">
        <f t="shared" si="104"/>
        <v/>
      </c>
      <c r="V667" t="str">
        <f>IF(C667="","",H667-InventoryTable[[#This Row],[Units Sold]])</f>
        <v/>
      </c>
      <c r="W667" t="str">
        <f t="shared" si="105"/>
        <v/>
      </c>
      <c r="X667" t="str">
        <f t="shared" si="106"/>
        <v/>
      </c>
      <c r="Y667" t="str">
        <f>IF(C667="","",IF(InventoryTable[[#This Row],[Stock Balance]]&lt;=0,"Sold Out",IF((InventoryTable[[#This Row],[Stock Balance]]/InventoryTable[[#This Row],[Total Pieces]])&lt;=0.25,"Low on Stocks","Available")))</f>
        <v/>
      </c>
    </row>
    <row r="668" spans="1:25" x14ac:dyDescent="0.3">
      <c r="A668" t="str">
        <f>IF(C668="","",_xlfn.CONCAT(LEFT(InventoryTable[[#This Row],[Category]],1),InventoryTable[[#This Row],[Product Pricing Type]],ROW()))</f>
        <v/>
      </c>
      <c r="H668" t="str">
        <f t="shared" si="97"/>
        <v/>
      </c>
      <c r="K668" t="str">
        <f t="shared" si="98"/>
        <v/>
      </c>
      <c r="N668" t="str">
        <f t="shared" si="99"/>
        <v/>
      </c>
      <c r="P668" t="str">
        <f t="shared" si="100"/>
        <v/>
      </c>
      <c r="Q668" s="4" t="str">
        <f t="shared" si="101"/>
        <v/>
      </c>
      <c r="R668" t="str">
        <f t="shared" si="102"/>
        <v/>
      </c>
      <c r="S668" t="str">
        <f t="shared" si="103"/>
        <v/>
      </c>
      <c r="T668" t="str">
        <f>IF(C668="","",InventoryTable[[#This Row],[Profit per Unit]]*InventoryTable[[#This Row],[Total Pieces]])</f>
        <v/>
      </c>
      <c r="U668" t="str">
        <f t="shared" si="104"/>
        <v/>
      </c>
      <c r="V668" t="str">
        <f>IF(C668="","",H668-InventoryTable[[#This Row],[Units Sold]])</f>
        <v/>
      </c>
      <c r="W668" t="str">
        <f t="shared" si="105"/>
        <v/>
      </c>
      <c r="X668" t="str">
        <f t="shared" si="106"/>
        <v/>
      </c>
      <c r="Y668" t="str">
        <f>IF(C668="","",IF(InventoryTable[[#This Row],[Stock Balance]]&lt;=0,"Sold Out",IF((InventoryTable[[#This Row],[Stock Balance]]/InventoryTable[[#This Row],[Total Pieces]])&lt;=0.25,"Low on Stocks","Available")))</f>
        <v/>
      </c>
    </row>
    <row r="669" spans="1:25" x14ac:dyDescent="0.3">
      <c r="A669" t="str">
        <f>IF(C669="","",_xlfn.CONCAT(LEFT(InventoryTable[[#This Row],[Category]],1),InventoryTable[[#This Row],[Product Pricing Type]],ROW()))</f>
        <v/>
      </c>
      <c r="H669" t="str">
        <f t="shared" si="97"/>
        <v/>
      </c>
      <c r="K669" t="str">
        <f t="shared" si="98"/>
        <v/>
      </c>
      <c r="N669" t="str">
        <f t="shared" si="99"/>
        <v/>
      </c>
      <c r="P669" t="str">
        <f t="shared" si="100"/>
        <v/>
      </c>
      <c r="Q669" s="4" t="str">
        <f t="shared" si="101"/>
        <v/>
      </c>
      <c r="R669" t="str">
        <f t="shared" si="102"/>
        <v/>
      </c>
      <c r="S669" t="str">
        <f t="shared" si="103"/>
        <v/>
      </c>
      <c r="T669" t="str">
        <f>IF(C669="","",InventoryTable[[#This Row],[Profit per Unit]]*InventoryTable[[#This Row],[Total Pieces]])</f>
        <v/>
      </c>
      <c r="U669" t="str">
        <f t="shared" si="104"/>
        <v/>
      </c>
      <c r="V669" t="str">
        <f>IF(C669="","",H669-InventoryTable[[#This Row],[Units Sold]])</f>
        <v/>
      </c>
      <c r="W669" t="str">
        <f t="shared" si="105"/>
        <v/>
      </c>
      <c r="X669" t="str">
        <f t="shared" si="106"/>
        <v/>
      </c>
      <c r="Y669" t="str">
        <f>IF(C669="","",IF(InventoryTable[[#This Row],[Stock Balance]]&lt;=0,"Sold Out",IF((InventoryTable[[#This Row],[Stock Balance]]/InventoryTable[[#This Row],[Total Pieces]])&lt;=0.25,"Low on Stocks","Available")))</f>
        <v/>
      </c>
    </row>
    <row r="670" spans="1:25" x14ac:dyDescent="0.3">
      <c r="A670" t="str">
        <f>IF(C670="","",_xlfn.CONCAT(LEFT(InventoryTable[[#This Row],[Category]],1),InventoryTable[[#This Row],[Product Pricing Type]],ROW()))</f>
        <v/>
      </c>
      <c r="H670" t="str">
        <f t="shared" si="97"/>
        <v/>
      </c>
      <c r="K670" t="str">
        <f t="shared" si="98"/>
        <v/>
      </c>
      <c r="N670" t="str">
        <f t="shared" si="99"/>
        <v/>
      </c>
      <c r="P670" t="str">
        <f t="shared" si="100"/>
        <v/>
      </c>
      <c r="Q670" s="4" t="str">
        <f t="shared" si="101"/>
        <v/>
      </c>
      <c r="R670" t="str">
        <f t="shared" si="102"/>
        <v/>
      </c>
      <c r="S670" t="str">
        <f t="shared" si="103"/>
        <v/>
      </c>
      <c r="T670" t="str">
        <f>IF(C670="","",InventoryTable[[#This Row],[Profit per Unit]]*InventoryTable[[#This Row],[Total Pieces]])</f>
        <v/>
      </c>
      <c r="U670" t="str">
        <f t="shared" si="104"/>
        <v/>
      </c>
      <c r="V670" t="str">
        <f>IF(C670="","",H670-InventoryTable[[#This Row],[Units Sold]])</f>
        <v/>
      </c>
      <c r="W670" t="str">
        <f t="shared" si="105"/>
        <v/>
      </c>
      <c r="X670" t="str">
        <f t="shared" si="106"/>
        <v/>
      </c>
      <c r="Y670" t="str">
        <f>IF(C670="","",IF(InventoryTable[[#This Row],[Stock Balance]]&lt;=0,"Sold Out",IF((InventoryTable[[#This Row],[Stock Balance]]/InventoryTable[[#This Row],[Total Pieces]])&lt;=0.25,"Low on Stocks","Available")))</f>
        <v/>
      </c>
    </row>
    <row r="671" spans="1:25" x14ac:dyDescent="0.3">
      <c r="A671" t="str">
        <f>IF(C671="","",_xlfn.CONCAT(LEFT(InventoryTable[[#This Row],[Category]],1),InventoryTable[[#This Row],[Product Pricing Type]],ROW()))</f>
        <v/>
      </c>
      <c r="H671" t="str">
        <f t="shared" si="97"/>
        <v/>
      </c>
      <c r="K671" t="str">
        <f t="shared" si="98"/>
        <v/>
      </c>
      <c r="N671" t="str">
        <f t="shared" si="99"/>
        <v/>
      </c>
      <c r="P671" t="str">
        <f t="shared" si="100"/>
        <v/>
      </c>
      <c r="Q671" s="4" t="str">
        <f t="shared" si="101"/>
        <v/>
      </c>
      <c r="R671" t="str">
        <f t="shared" si="102"/>
        <v/>
      </c>
      <c r="S671" t="str">
        <f t="shared" si="103"/>
        <v/>
      </c>
      <c r="T671" t="str">
        <f>IF(C671="","",InventoryTable[[#This Row],[Profit per Unit]]*InventoryTable[[#This Row],[Total Pieces]])</f>
        <v/>
      </c>
      <c r="U671" t="str">
        <f t="shared" si="104"/>
        <v/>
      </c>
      <c r="V671" t="str">
        <f>IF(C671="","",H671-InventoryTable[[#This Row],[Units Sold]])</f>
        <v/>
      </c>
      <c r="W671" t="str">
        <f t="shared" si="105"/>
        <v/>
      </c>
      <c r="X671" t="str">
        <f t="shared" si="106"/>
        <v/>
      </c>
      <c r="Y671" t="str">
        <f>IF(C671="","",IF(InventoryTable[[#This Row],[Stock Balance]]&lt;=0,"Sold Out",IF((InventoryTable[[#This Row],[Stock Balance]]/InventoryTable[[#This Row],[Total Pieces]])&lt;=0.25,"Low on Stocks","Available")))</f>
        <v/>
      </c>
    </row>
    <row r="672" spans="1:25" x14ac:dyDescent="0.3">
      <c r="A672" t="str">
        <f>IF(C672="","",_xlfn.CONCAT(LEFT(InventoryTable[[#This Row],[Category]],1),InventoryTable[[#This Row],[Product Pricing Type]],ROW()))</f>
        <v/>
      </c>
      <c r="H672" t="str">
        <f t="shared" si="97"/>
        <v/>
      </c>
      <c r="K672" t="str">
        <f t="shared" si="98"/>
        <v/>
      </c>
      <c r="N672" t="str">
        <f t="shared" si="99"/>
        <v/>
      </c>
      <c r="P672" t="str">
        <f t="shared" si="100"/>
        <v/>
      </c>
      <c r="Q672" s="4" t="str">
        <f t="shared" si="101"/>
        <v/>
      </c>
      <c r="R672" t="str">
        <f t="shared" si="102"/>
        <v/>
      </c>
      <c r="S672" t="str">
        <f t="shared" si="103"/>
        <v/>
      </c>
      <c r="T672" t="str">
        <f>IF(C672="","",InventoryTable[[#This Row],[Profit per Unit]]*InventoryTable[[#This Row],[Total Pieces]])</f>
        <v/>
      </c>
      <c r="U672" t="str">
        <f t="shared" si="104"/>
        <v/>
      </c>
      <c r="V672" t="str">
        <f>IF(C672="","",H672-InventoryTable[[#This Row],[Units Sold]])</f>
        <v/>
      </c>
      <c r="W672" t="str">
        <f t="shared" si="105"/>
        <v/>
      </c>
      <c r="X672" t="str">
        <f t="shared" si="106"/>
        <v/>
      </c>
      <c r="Y672" t="str">
        <f>IF(C672="","",IF(InventoryTable[[#This Row],[Stock Balance]]&lt;=0,"Sold Out",IF((InventoryTable[[#This Row],[Stock Balance]]/InventoryTable[[#This Row],[Total Pieces]])&lt;=0.25,"Low on Stocks","Available")))</f>
        <v/>
      </c>
    </row>
    <row r="673" spans="1:25" x14ac:dyDescent="0.3">
      <c r="A673" t="str">
        <f>IF(C673="","",_xlfn.CONCAT(LEFT(InventoryTable[[#This Row],[Category]],1),InventoryTable[[#This Row],[Product Pricing Type]],ROW()))</f>
        <v/>
      </c>
      <c r="H673" t="str">
        <f t="shared" ref="H673:H736" si="107">IF(C673="","",G673*F673)</f>
        <v/>
      </c>
      <c r="K673" t="str">
        <f t="shared" ref="K673:K736" si="108">IF(C673="","",IF(J673=1,I673/H673,I673*G673*F673))</f>
        <v/>
      </c>
      <c r="N673" t="str">
        <f t="shared" ref="N673:N736" si="109">IF(C673="","",IF(J673=1,K673+(K673*M673),I673+(I673*M673)))</f>
        <v/>
      </c>
      <c r="P673" t="str">
        <f t="shared" ref="P673:P736" si="110">IF(C673="","",N673+(N673*O673))</f>
        <v/>
      </c>
      <c r="Q673" s="4" t="str">
        <f t="shared" ref="Q673:Q736" si="111">IF(C673="","",ROUNDUP(P673,0))</f>
        <v/>
      </c>
      <c r="R673" t="str">
        <f t="shared" ref="R673:R736" si="112">IF(C673="","")</f>
        <v/>
      </c>
      <c r="S673" t="str">
        <f t="shared" ref="S673:S736" si="113">IF(C673="","",IF(COUNTIF(C673,"*Fixed*")&gt;0,(K673-R673)/H673,IF(J673=1,Q673-K673,Q673-I673)))</f>
        <v/>
      </c>
      <c r="T673" t="str">
        <f>IF(C673="","",InventoryTable[[#This Row],[Profit per Unit]]*InventoryTable[[#This Row],[Total Pieces]])</f>
        <v/>
      </c>
      <c r="U673" t="str">
        <f t="shared" si="104"/>
        <v/>
      </c>
      <c r="V673" t="str">
        <f>IF(C673="","",H673-InventoryTable[[#This Row],[Units Sold]])</f>
        <v/>
      </c>
      <c r="W673" t="str">
        <f t="shared" si="105"/>
        <v/>
      </c>
      <c r="X673" t="str">
        <f t="shared" si="106"/>
        <v/>
      </c>
      <c r="Y673" t="str">
        <f>IF(C673="","",IF(InventoryTable[[#This Row],[Stock Balance]]&lt;=0,"Sold Out",IF((InventoryTable[[#This Row],[Stock Balance]]/InventoryTable[[#This Row],[Total Pieces]])&lt;=0.25,"Low on Stocks","Available")))</f>
        <v/>
      </c>
    </row>
    <row r="674" spans="1:25" x14ac:dyDescent="0.3">
      <c r="A674" t="str">
        <f>IF(C674="","",_xlfn.CONCAT(LEFT(InventoryTable[[#This Row],[Category]],1),InventoryTable[[#This Row],[Product Pricing Type]],ROW()))</f>
        <v/>
      </c>
      <c r="H674" t="str">
        <f t="shared" si="107"/>
        <v/>
      </c>
      <c r="K674" t="str">
        <f t="shared" si="108"/>
        <v/>
      </c>
      <c r="N674" t="str">
        <f t="shared" si="109"/>
        <v/>
      </c>
      <c r="P674" t="str">
        <f t="shared" si="110"/>
        <v/>
      </c>
      <c r="Q674" s="4" t="str">
        <f t="shared" si="111"/>
        <v/>
      </c>
      <c r="R674" t="str">
        <f t="shared" si="112"/>
        <v/>
      </c>
      <c r="S674" t="str">
        <f t="shared" si="113"/>
        <v/>
      </c>
      <c r="T674" t="str">
        <f>IF(C674="","",InventoryTable[[#This Row],[Profit per Unit]]*InventoryTable[[#This Row],[Total Pieces]])</f>
        <v/>
      </c>
      <c r="U674" t="str">
        <f t="shared" si="104"/>
        <v/>
      </c>
      <c r="V674" t="str">
        <f>IF(C674="","",H674-InventoryTable[[#This Row],[Units Sold]])</f>
        <v/>
      </c>
      <c r="W674" t="str">
        <f t="shared" si="105"/>
        <v/>
      </c>
      <c r="X674" t="str">
        <f t="shared" si="106"/>
        <v/>
      </c>
      <c r="Y674" t="str">
        <f>IF(C674="","",IF(InventoryTable[[#This Row],[Stock Balance]]&lt;=0,"Sold Out",IF((InventoryTable[[#This Row],[Stock Balance]]/InventoryTable[[#This Row],[Total Pieces]])&lt;=0.25,"Low on Stocks","Available")))</f>
        <v/>
      </c>
    </row>
    <row r="675" spans="1:25" x14ac:dyDescent="0.3">
      <c r="A675" t="str">
        <f>IF(C675="","",_xlfn.CONCAT(LEFT(InventoryTable[[#This Row],[Category]],1),InventoryTable[[#This Row],[Product Pricing Type]],ROW()))</f>
        <v/>
      </c>
      <c r="H675" t="str">
        <f t="shared" si="107"/>
        <v/>
      </c>
      <c r="K675" t="str">
        <f t="shared" si="108"/>
        <v/>
      </c>
      <c r="N675" t="str">
        <f t="shared" si="109"/>
        <v/>
      </c>
      <c r="P675" t="str">
        <f t="shared" si="110"/>
        <v/>
      </c>
      <c r="Q675" s="4" t="str">
        <f t="shared" si="111"/>
        <v/>
      </c>
      <c r="R675" t="str">
        <f t="shared" si="112"/>
        <v/>
      </c>
      <c r="S675" t="str">
        <f t="shared" si="113"/>
        <v/>
      </c>
      <c r="T675" t="str">
        <f>IF(C675="","",InventoryTable[[#This Row],[Profit per Unit]]*InventoryTable[[#This Row],[Total Pieces]])</f>
        <v/>
      </c>
      <c r="U675" t="str">
        <f t="shared" si="104"/>
        <v/>
      </c>
      <c r="V675" t="str">
        <f>IF(C675="","",H675-InventoryTable[[#This Row],[Units Sold]])</f>
        <v/>
      </c>
      <c r="W675" t="str">
        <f t="shared" si="105"/>
        <v/>
      </c>
      <c r="X675" t="str">
        <f t="shared" si="106"/>
        <v/>
      </c>
      <c r="Y675" t="str">
        <f>IF(C675="","",IF(InventoryTable[[#This Row],[Stock Balance]]&lt;=0,"Sold Out",IF((InventoryTable[[#This Row],[Stock Balance]]/InventoryTable[[#This Row],[Total Pieces]])&lt;=0.25,"Low on Stocks","Available")))</f>
        <v/>
      </c>
    </row>
    <row r="676" spans="1:25" x14ac:dyDescent="0.3">
      <c r="A676" t="str">
        <f>IF(C676="","",_xlfn.CONCAT(LEFT(InventoryTable[[#This Row],[Category]],1),InventoryTable[[#This Row],[Product Pricing Type]],ROW()))</f>
        <v/>
      </c>
      <c r="H676" t="str">
        <f t="shared" si="107"/>
        <v/>
      </c>
      <c r="K676" t="str">
        <f t="shared" si="108"/>
        <v/>
      </c>
      <c r="N676" t="str">
        <f t="shared" si="109"/>
        <v/>
      </c>
      <c r="P676" t="str">
        <f t="shared" si="110"/>
        <v/>
      </c>
      <c r="Q676" s="4" t="str">
        <f t="shared" si="111"/>
        <v/>
      </c>
      <c r="R676" t="str">
        <f t="shared" si="112"/>
        <v/>
      </c>
      <c r="S676" t="str">
        <f t="shared" si="113"/>
        <v/>
      </c>
      <c r="T676" t="str">
        <f>IF(C676="","",InventoryTable[[#This Row],[Profit per Unit]]*InventoryTable[[#This Row],[Total Pieces]])</f>
        <v/>
      </c>
      <c r="U676" t="str">
        <f t="shared" si="104"/>
        <v/>
      </c>
      <c r="V676" t="str">
        <f>IF(C676="","",H676-InventoryTable[[#This Row],[Units Sold]])</f>
        <v/>
      </c>
      <c r="W676" t="str">
        <f t="shared" si="105"/>
        <v/>
      </c>
      <c r="X676" t="str">
        <f t="shared" si="106"/>
        <v/>
      </c>
      <c r="Y676" t="str">
        <f>IF(C676="","",IF(InventoryTable[[#This Row],[Stock Balance]]&lt;=0,"Sold Out",IF((InventoryTable[[#This Row],[Stock Balance]]/InventoryTable[[#This Row],[Total Pieces]])&lt;=0.25,"Low on Stocks","Available")))</f>
        <v/>
      </c>
    </row>
    <row r="677" spans="1:25" x14ac:dyDescent="0.3">
      <c r="A677" t="str">
        <f>IF(C677="","",_xlfn.CONCAT(LEFT(InventoryTable[[#This Row],[Category]],1),InventoryTable[[#This Row],[Product Pricing Type]],ROW()))</f>
        <v/>
      </c>
      <c r="H677" t="str">
        <f t="shared" si="107"/>
        <v/>
      </c>
      <c r="K677" t="str">
        <f t="shared" si="108"/>
        <v/>
      </c>
      <c r="N677" t="str">
        <f t="shared" si="109"/>
        <v/>
      </c>
      <c r="P677" t="str">
        <f t="shared" si="110"/>
        <v/>
      </c>
      <c r="Q677" s="4" t="str">
        <f t="shared" si="111"/>
        <v/>
      </c>
      <c r="R677" t="str">
        <f t="shared" si="112"/>
        <v/>
      </c>
      <c r="S677" t="str">
        <f t="shared" si="113"/>
        <v/>
      </c>
      <c r="T677" t="str">
        <f>IF(C677="","",InventoryTable[[#This Row],[Profit per Unit]]*InventoryTable[[#This Row],[Total Pieces]])</f>
        <v/>
      </c>
      <c r="U677" t="str">
        <f t="shared" si="104"/>
        <v/>
      </c>
      <c r="V677" t="str">
        <f>IF(C677="","",H677-InventoryTable[[#This Row],[Units Sold]])</f>
        <v/>
      </c>
      <c r="W677" t="str">
        <f t="shared" si="105"/>
        <v/>
      </c>
      <c r="X677" t="str">
        <f t="shared" si="106"/>
        <v/>
      </c>
      <c r="Y677" t="str">
        <f>IF(C677="","",IF(InventoryTable[[#This Row],[Stock Balance]]&lt;=0,"Sold Out",IF((InventoryTable[[#This Row],[Stock Balance]]/InventoryTable[[#This Row],[Total Pieces]])&lt;=0.25,"Low on Stocks","Available")))</f>
        <v/>
      </c>
    </row>
    <row r="678" spans="1:25" x14ac:dyDescent="0.3">
      <c r="A678" t="str">
        <f>IF(C678="","",_xlfn.CONCAT(LEFT(InventoryTable[[#This Row],[Category]],1),InventoryTable[[#This Row],[Product Pricing Type]],ROW()))</f>
        <v/>
      </c>
      <c r="H678" t="str">
        <f t="shared" si="107"/>
        <v/>
      </c>
      <c r="K678" t="str">
        <f t="shared" si="108"/>
        <v/>
      </c>
      <c r="N678" t="str">
        <f t="shared" si="109"/>
        <v/>
      </c>
      <c r="P678" t="str">
        <f t="shared" si="110"/>
        <v/>
      </c>
      <c r="Q678" s="4" t="str">
        <f t="shared" si="111"/>
        <v/>
      </c>
      <c r="R678" t="str">
        <f t="shared" si="112"/>
        <v/>
      </c>
      <c r="S678" t="str">
        <f t="shared" si="113"/>
        <v/>
      </c>
      <c r="T678" t="str">
        <f>IF(C678="","",InventoryTable[[#This Row],[Profit per Unit]]*InventoryTable[[#This Row],[Total Pieces]])</f>
        <v/>
      </c>
      <c r="U678" t="str">
        <f t="shared" si="104"/>
        <v/>
      </c>
      <c r="V678" t="str">
        <f>IF(C678="","",H678-InventoryTable[[#This Row],[Units Sold]])</f>
        <v/>
      </c>
      <c r="W678" t="str">
        <f t="shared" si="105"/>
        <v/>
      </c>
      <c r="X678" t="str">
        <f t="shared" si="106"/>
        <v/>
      </c>
      <c r="Y678" t="str">
        <f>IF(C678="","",IF(InventoryTable[[#This Row],[Stock Balance]]&lt;=0,"Sold Out",IF((InventoryTable[[#This Row],[Stock Balance]]/InventoryTable[[#This Row],[Total Pieces]])&lt;=0.25,"Low on Stocks","Available")))</f>
        <v/>
      </c>
    </row>
    <row r="679" spans="1:25" x14ac:dyDescent="0.3">
      <c r="A679" t="str">
        <f>IF(C679="","",_xlfn.CONCAT(LEFT(InventoryTable[[#This Row],[Category]],1),InventoryTable[[#This Row],[Product Pricing Type]],ROW()))</f>
        <v/>
      </c>
      <c r="H679" t="str">
        <f t="shared" si="107"/>
        <v/>
      </c>
      <c r="K679" t="str">
        <f t="shared" si="108"/>
        <v/>
      </c>
      <c r="N679" t="str">
        <f t="shared" si="109"/>
        <v/>
      </c>
      <c r="P679" t="str">
        <f t="shared" si="110"/>
        <v/>
      </c>
      <c r="Q679" s="4" t="str">
        <f t="shared" si="111"/>
        <v/>
      </c>
      <c r="R679" t="str">
        <f t="shared" si="112"/>
        <v/>
      </c>
      <c r="S679" t="str">
        <f t="shared" si="113"/>
        <v/>
      </c>
      <c r="T679" t="str">
        <f>IF(C679="","",InventoryTable[[#This Row],[Profit per Unit]]*InventoryTable[[#This Row],[Total Pieces]])</f>
        <v/>
      </c>
      <c r="U679" t="str">
        <f t="shared" si="104"/>
        <v/>
      </c>
      <c r="V679" t="str">
        <f>IF(C679="","",H679-InventoryTable[[#This Row],[Units Sold]])</f>
        <v/>
      </c>
      <c r="W679" t="str">
        <f t="shared" si="105"/>
        <v/>
      </c>
      <c r="X679" t="str">
        <f t="shared" si="106"/>
        <v/>
      </c>
      <c r="Y679" t="str">
        <f>IF(C679="","",IF(InventoryTable[[#This Row],[Stock Balance]]&lt;=0,"Sold Out",IF((InventoryTable[[#This Row],[Stock Balance]]/InventoryTable[[#This Row],[Total Pieces]])&lt;=0.25,"Low on Stocks","Available")))</f>
        <v/>
      </c>
    </row>
    <row r="680" spans="1:25" x14ac:dyDescent="0.3">
      <c r="A680" t="str">
        <f>IF(C680="","",_xlfn.CONCAT(LEFT(InventoryTable[[#This Row],[Category]],1),InventoryTable[[#This Row],[Product Pricing Type]],ROW()))</f>
        <v/>
      </c>
      <c r="H680" t="str">
        <f t="shared" si="107"/>
        <v/>
      </c>
      <c r="K680" t="str">
        <f t="shared" si="108"/>
        <v/>
      </c>
      <c r="N680" t="str">
        <f t="shared" si="109"/>
        <v/>
      </c>
      <c r="P680" t="str">
        <f t="shared" si="110"/>
        <v/>
      </c>
      <c r="Q680" s="4" t="str">
        <f t="shared" si="111"/>
        <v/>
      </c>
      <c r="R680" t="str">
        <f t="shared" si="112"/>
        <v/>
      </c>
      <c r="S680" t="str">
        <f t="shared" si="113"/>
        <v/>
      </c>
      <c r="T680" t="str">
        <f>IF(C680="","",InventoryTable[[#This Row],[Profit per Unit]]*InventoryTable[[#This Row],[Total Pieces]])</f>
        <v/>
      </c>
      <c r="U680" t="str">
        <f t="shared" si="104"/>
        <v/>
      </c>
      <c r="V680" t="str">
        <f>IF(C680="","",H680-InventoryTable[[#This Row],[Units Sold]])</f>
        <v/>
      </c>
      <c r="W680" t="str">
        <f t="shared" si="105"/>
        <v/>
      </c>
      <c r="X680" t="str">
        <f t="shared" si="106"/>
        <v/>
      </c>
      <c r="Y680" t="str">
        <f>IF(C680="","",IF(InventoryTable[[#This Row],[Stock Balance]]&lt;=0,"Sold Out",IF((InventoryTable[[#This Row],[Stock Balance]]/InventoryTable[[#This Row],[Total Pieces]])&lt;=0.25,"Low on Stocks","Available")))</f>
        <v/>
      </c>
    </row>
    <row r="681" spans="1:25" x14ac:dyDescent="0.3">
      <c r="A681" t="str">
        <f>IF(C681="","",_xlfn.CONCAT(LEFT(InventoryTable[[#This Row],[Category]],1),InventoryTable[[#This Row],[Product Pricing Type]],ROW()))</f>
        <v/>
      </c>
      <c r="H681" t="str">
        <f t="shared" si="107"/>
        <v/>
      </c>
      <c r="K681" t="str">
        <f t="shared" si="108"/>
        <v/>
      </c>
      <c r="N681" t="str">
        <f t="shared" si="109"/>
        <v/>
      </c>
      <c r="P681" t="str">
        <f t="shared" si="110"/>
        <v/>
      </c>
      <c r="Q681" s="4" t="str">
        <f t="shared" si="111"/>
        <v/>
      </c>
      <c r="R681" t="str">
        <f t="shared" si="112"/>
        <v/>
      </c>
      <c r="S681" t="str">
        <f t="shared" si="113"/>
        <v/>
      </c>
      <c r="T681" t="str">
        <f>IF(C681="","",InventoryTable[[#This Row],[Profit per Unit]]*InventoryTable[[#This Row],[Total Pieces]])</f>
        <v/>
      </c>
      <c r="U681" t="str">
        <f t="shared" si="104"/>
        <v/>
      </c>
      <c r="V681" t="str">
        <f>IF(C681="","",H681-InventoryTable[[#This Row],[Units Sold]])</f>
        <v/>
      </c>
      <c r="W681" t="str">
        <f t="shared" si="105"/>
        <v/>
      </c>
      <c r="X681" t="str">
        <f t="shared" si="106"/>
        <v/>
      </c>
      <c r="Y681" t="str">
        <f>IF(C681="","",IF(InventoryTable[[#This Row],[Stock Balance]]&lt;=0,"Sold Out",IF((InventoryTable[[#This Row],[Stock Balance]]/InventoryTable[[#This Row],[Total Pieces]])&lt;=0.25,"Low on Stocks","Available")))</f>
        <v/>
      </c>
    </row>
    <row r="682" spans="1:25" x14ac:dyDescent="0.3">
      <c r="A682" t="str">
        <f>IF(C682="","",_xlfn.CONCAT(LEFT(InventoryTable[[#This Row],[Category]],1),InventoryTable[[#This Row],[Product Pricing Type]],ROW()))</f>
        <v/>
      </c>
      <c r="H682" t="str">
        <f t="shared" si="107"/>
        <v/>
      </c>
      <c r="K682" t="str">
        <f t="shared" si="108"/>
        <v/>
      </c>
      <c r="N682" t="str">
        <f t="shared" si="109"/>
        <v/>
      </c>
      <c r="P682" t="str">
        <f t="shared" si="110"/>
        <v/>
      </c>
      <c r="Q682" s="4" t="str">
        <f t="shared" si="111"/>
        <v/>
      </c>
      <c r="R682" t="str">
        <f t="shared" si="112"/>
        <v/>
      </c>
      <c r="S682" t="str">
        <f t="shared" si="113"/>
        <v/>
      </c>
      <c r="T682" t="str">
        <f>IF(C682="","",InventoryTable[[#This Row],[Profit per Unit]]*InventoryTable[[#This Row],[Total Pieces]])</f>
        <v/>
      </c>
      <c r="U682" t="str">
        <f t="shared" si="104"/>
        <v/>
      </c>
      <c r="V682" t="str">
        <f>IF(C682="","",H682-InventoryTable[[#This Row],[Units Sold]])</f>
        <v/>
      </c>
      <c r="W682" t="str">
        <f t="shared" si="105"/>
        <v/>
      </c>
      <c r="X682" t="str">
        <f t="shared" si="106"/>
        <v/>
      </c>
      <c r="Y682" t="str">
        <f>IF(C682="","",IF(InventoryTable[[#This Row],[Stock Balance]]&lt;=0,"Sold Out",IF((InventoryTable[[#This Row],[Stock Balance]]/InventoryTable[[#This Row],[Total Pieces]])&lt;=0.25,"Low on Stocks","Available")))</f>
        <v/>
      </c>
    </row>
    <row r="683" spans="1:25" x14ac:dyDescent="0.3">
      <c r="A683" t="str">
        <f>IF(C683="","",_xlfn.CONCAT(LEFT(InventoryTable[[#This Row],[Category]],1),InventoryTable[[#This Row],[Product Pricing Type]],ROW()))</f>
        <v/>
      </c>
      <c r="H683" t="str">
        <f t="shared" si="107"/>
        <v/>
      </c>
      <c r="K683" t="str">
        <f t="shared" si="108"/>
        <v/>
      </c>
      <c r="N683" t="str">
        <f t="shared" si="109"/>
        <v/>
      </c>
      <c r="P683" t="str">
        <f t="shared" si="110"/>
        <v/>
      </c>
      <c r="Q683" s="4" t="str">
        <f t="shared" si="111"/>
        <v/>
      </c>
      <c r="R683" t="str">
        <f t="shared" si="112"/>
        <v/>
      </c>
      <c r="S683" t="str">
        <f t="shared" si="113"/>
        <v/>
      </c>
      <c r="T683" t="str">
        <f>IF(C683="","",InventoryTable[[#This Row],[Profit per Unit]]*InventoryTable[[#This Row],[Total Pieces]])</f>
        <v/>
      </c>
      <c r="U683" t="str">
        <f t="shared" si="104"/>
        <v/>
      </c>
      <c r="V683" t="str">
        <f>IF(C683="","",H683-InventoryTable[[#This Row],[Units Sold]])</f>
        <v/>
      </c>
      <c r="W683" t="str">
        <f t="shared" si="105"/>
        <v/>
      </c>
      <c r="X683" t="str">
        <f t="shared" si="106"/>
        <v/>
      </c>
      <c r="Y683" t="str">
        <f>IF(C683="","",IF(InventoryTable[[#This Row],[Stock Balance]]&lt;=0,"Sold Out",IF((InventoryTable[[#This Row],[Stock Balance]]/InventoryTable[[#This Row],[Total Pieces]])&lt;=0.25,"Low on Stocks","Available")))</f>
        <v/>
      </c>
    </row>
    <row r="684" spans="1:25" x14ac:dyDescent="0.3">
      <c r="A684" t="str">
        <f>IF(C684="","",_xlfn.CONCAT(LEFT(InventoryTable[[#This Row],[Category]],1),InventoryTable[[#This Row],[Product Pricing Type]],ROW()))</f>
        <v/>
      </c>
      <c r="H684" t="str">
        <f t="shared" si="107"/>
        <v/>
      </c>
      <c r="K684" t="str">
        <f t="shared" si="108"/>
        <v/>
      </c>
      <c r="N684" t="str">
        <f t="shared" si="109"/>
        <v/>
      </c>
      <c r="P684" t="str">
        <f t="shared" si="110"/>
        <v/>
      </c>
      <c r="Q684" s="4" t="str">
        <f t="shared" si="111"/>
        <v/>
      </c>
      <c r="R684" t="str">
        <f t="shared" si="112"/>
        <v/>
      </c>
      <c r="S684" t="str">
        <f t="shared" si="113"/>
        <v/>
      </c>
      <c r="T684" t="str">
        <f>IF(C684="","",InventoryTable[[#This Row],[Profit per Unit]]*InventoryTable[[#This Row],[Total Pieces]])</f>
        <v/>
      </c>
      <c r="U684" t="str">
        <f t="shared" si="104"/>
        <v/>
      </c>
      <c r="V684" t="str">
        <f>IF(C684="","",H684-InventoryTable[[#This Row],[Units Sold]])</f>
        <v/>
      </c>
      <c r="W684" t="str">
        <f t="shared" si="105"/>
        <v/>
      </c>
      <c r="X684" t="str">
        <f t="shared" si="106"/>
        <v/>
      </c>
      <c r="Y684" t="str">
        <f>IF(C684="","",IF(InventoryTable[[#This Row],[Stock Balance]]&lt;=0,"Sold Out",IF((InventoryTable[[#This Row],[Stock Balance]]/InventoryTable[[#This Row],[Total Pieces]])&lt;=0.25,"Low on Stocks","Available")))</f>
        <v/>
      </c>
    </row>
    <row r="685" spans="1:25" x14ac:dyDescent="0.3">
      <c r="A685" t="str">
        <f>IF(C685="","",_xlfn.CONCAT(LEFT(InventoryTable[[#This Row],[Category]],1),InventoryTable[[#This Row],[Product Pricing Type]],ROW()))</f>
        <v/>
      </c>
      <c r="H685" t="str">
        <f t="shared" si="107"/>
        <v/>
      </c>
      <c r="K685" t="str">
        <f t="shared" si="108"/>
        <v/>
      </c>
      <c r="N685" t="str">
        <f t="shared" si="109"/>
        <v/>
      </c>
      <c r="P685" t="str">
        <f t="shared" si="110"/>
        <v/>
      </c>
      <c r="Q685" s="4" t="str">
        <f t="shared" si="111"/>
        <v/>
      </c>
      <c r="R685" t="str">
        <f t="shared" si="112"/>
        <v/>
      </c>
      <c r="S685" t="str">
        <f t="shared" si="113"/>
        <v/>
      </c>
      <c r="T685" t="str">
        <f>IF(C685="","",InventoryTable[[#This Row],[Profit per Unit]]*InventoryTable[[#This Row],[Total Pieces]])</f>
        <v/>
      </c>
      <c r="U685" t="str">
        <f t="shared" si="104"/>
        <v/>
      </c>
      <c r="V685" t="str">
        <f>IF(C685="","",H685-InventoryTable[[#This Row],[Units Sold]])</f>
        <v/>
      </c>
      <c r="W685" t="str">
        <f t="shared" si="105"/>
        <v/>
      </c>
      <c r="X685" t="str">
        <f t="shared" si="106"/>
        <v/>
      </c>
      <c r="Y685" t="str">
        <f>IF(C685="","",IF(InventoryTable[[#This Row],[Stock Balance]]&lt;=0,"Sold Out",IF((InventoryTable[[#This Row],[Stock Balance]]/InventoryTable[[#This Row],[Total Pieces]])&lt;=0.25,"Low on Stocks","Available")))</f>
        <v/>
      </c>
    </row>
    <row r="686" spans="1:25" x14ac:dyDescent="0.3">
      <c r="A686" t="str">
        <f>IF(C686="","",_xlfn.CONCAT(LEFT(InventoryTable[[#This Row],[Category]],1),InventoryTable[[#This Row],[Product Pricing Type]],ROW()))</f>
        <v/>
      </c>
      <c r="H686" t="str">
        <f t="shared" si="107"/>
        <v/>
      </c>
      <c r="K686" t="str">
        <f t="shared" si="108"/>
        <v/>
      </c>
      <c r="N686" t="str">
        <f t="shared" si="109"/>
        <v/>
      </c>
      <c r="P686" t="str">
        <f t="shared" si="110"/>
        <v/>
      </c>
      <c r="Q686" s="4" t="str">
        <f t="shared" si="111"/>
        <v/>
      </c>
      <c r="R686" t="str">
        <f t="shared" si="112"/>
        <v/>
      </c>
      <c r="S686" t="str">
        <f t="shared" si="113"/>
        <v/>
      </c>
      <c r="T686" t="str">
        <f>IF(C686="","",InventoryTable[[#This Row],[Profit per Unit]]*InventoryTable[[#This Row],[Total Pieces]])</f>
        <v/>
      </c>
      <c r="U686" t="str">
        <f t="shared" si="104"/>
        <v/>
      </c>
      <c r="V686" t="str">
        <f>IF(C686="","",H686-InventoryTable[[#This Row],[Units Sold]])</f>
        <v/>
      </c>
      <c r="W686" t="str">
        <f t="shared" si="105"/>
        <v/>
      </c>
      <c r="X686" t="str">
        <f t="shared" si="106"/>
        <v/>
      </c>
      <c r="Y686" t="str">
        <f>IF(C686="","",IF(InventoryTable[[#This Row],[Stock Balance]]&lt;=0,"Sold Out",IF((InventoryTable[[#This Row],[Stock Balance]]/InventoryTable[[#This Row],[Total Pieces]])&lt;=0.25,"Low on Stocks","Available")))</f>
        <v/>
      </c>
    </row>
    <row r="687" spans="1:25" x14ac:dyDescent="0.3">
      <c r="A687" t="str">
        <f>IF(C687="","",_xlfn.CONCAT(LEFT(InventoryTable[[#This Row],[Category]],1),InventoryTable[[#This Row],[Product Pricing Type]],ROW()))</f>
        <v/>
      </c>
      <c r="H687" t="str">
        <f t="shared" si="107"/>
        <v/>
      </c>
      <c r="K687" t="str">
        <f t="shared" si="108"/>
        <v/>
      </c>
      <c r="N687" t="str">
        <f t="shared" si="109"/>
        <v/>
      </c>
      <c r="P687" t="str">
        <f t="shared" si="110"/>
        <v/>
      </c>
      <c r="Q687" s="4" t="str">
        <f t="shared" si="111"/>
        <v/>
      </c>
      <c r="R687" t="str">
        <f t="shared" si="112"/>
        <v/>
      </c>
      <c r="S687" t="str">
        <f t="shared" si="113"/>
        <v/>
      </c>
      <c r="T687" t="str">
        <f>IF(C687="","",InventoryTable[[#This Row],[Profit per Unit]]*InventoryTable[[#This Row],[Total Pieces]])</f>
        <v/>
      </c>
      <c r="U687" t="str">
        <f t="shared" si="104"/>
        <v/>
      </c>
      <c r="V687" t="str">
        <f>IF(C687="","",H687-InventoryTable[[#This Row],[Units Sold]])</f>
        <v/>
      </c>
      <c r="W687" t="str">
        <f t="shared" si="105"/>
        <v/>
      </c>
      <c r="X687" t="str">
        <f t="shared" si="106"/>
        <v/>
      </c>
      <c r="Y687" t="str">
        <f>IF(C687="","",IF(InventoryTable[[#This Row],[Stock Balance]]&lt;=0,"Sold Out",IF((InventoryTable[[#This Row],[Stock Balance]]/InventoryTable[[#This Row],[Total Pieces]])&lt;=0.25,"Low on Stocks","Available")))</f>
        <v/>
      </c>
    </row>
    <row r="688" spans="1:25" x14ac:dyDescent="0.3">
      <c r="A688" t="str">
        <f>IF(C688="","",_xlfn.CONCAT(LEFT(InventoryTable[[#This Row],[Category]],1),InventoryTable[[#This Row],[Product Pricing Type]],ROW()))</f>
        <v/>
      </c>
      <c r="H688" t="str">
        <f t="shared" si="107"/>
        <v/>
      </c>
      <c r="K688" t="str">
        <f t="shared" si="108"/>
        <v/>
      </c>
      <c r="N688" t="str">
        <f t="shared" si="109"/>
        <v/>
      </c>
      <c r="P688" t="str">
        <f t="shared" si="110"/>
        <v/>
      </c>
      <c r="Q688" s="4" t="str">
        <f t="shared" si="111"/>
        <v/>
      </c>
      <c r="R688" t="str">
        <f t="shared" si="112"/>
        <v/>
      </c>
      <c r="S688" t="str">
        <f t="shared" si="113"/>
        <v/>
      </c>
      <c r="T688" t="str">
        <f>IF(C688="","",InventoryTable[[#This Row],[Profit per Unit]]*InventoryTable[[#This Row],[Total Pieces]])</f>
        <v/>
      </c>
      <c r="U688" t="str">
        <f t="shared" si="104"/>
        <v/>
      </c>
      <c r="V688" t="str">
        <f>IF(C688="","",H688-InventoryTable[[#This Row],[Units Sold]])</f>
        <v/>
      </c>
      <c r="W688" t="str">
        <f t="shared" si="105"/>
        <v/>
      </c>
      <c r="X688" t="str">
        <f t="shared" si="106"/>
        <v/>
      </c>
      <c r="Y688" t="str">
        <f>IF(C688="","",IF(InventoryTable[[#This Row],[Stock Balance]]&lt;=0,"Sold Out",IF((InventoryTable[[#This Row],[Stock Balance]]/InventoryTable[[#This Row],[Total Pieces]])&lt;=0.25,"Low on Stocks","Available")))</f>
        <v/>
      </c>
    </row>
    <row r="689" spans="1:25" x14ac:dyDescent="0.3">
      <c r="A689" t="str">
        <f>IF(C689="","",_xlfn.CONCAT(LEFT(InventoryTable[[#This Row],[Category]],1),InventoryTable[[#This Row],[Product Pricing Type]],ROW()))</f>
        <v/>
      </c>
      <c r="H689" t="str">
        <f t="shared" si="107"/>
        <v/>
      </c>
      <c r="K689" t="str">
        <f t="shared" si="108"/>
        <v/>
      </c>
      <c r="N689" t="str">
        <f t="shared" si="109"/>
        <v/>
      </c>
      <c r="P689" t="str">
        <f t="shared" si="110"/>
        <v/>
      </c>
      <c r="Q689" s="4" t="str">
        <f t="shared" si="111"/>
        <v/>
      </c>
      <c r="R689" t="str">
        <f t="shared" si="112"/>
        <v/>
      </c>
      <c r="S689" t="str">
        <f t="shared" si="113"/>
        <v/>
      </c>
      <c r="T689" t="str">
        <f>IF(C689="","",InventoryTable[[#This Row],[Profit per Unit]]*InventoryTable[[#This Row],[Total Pieces]])</f>
        <v/>
      </c>
      <c r="U689" t="str">
        <f t="shared" si="104"/>
        <v/>
      </c>
      <c r="V689" t="str">
        <f>IF(C689="","",H689-InventoryTable[[#This Row],[Units Sold]])</f>
        <v/>
      </c>
      <c r="W689" t="str">
        <f t="shared" si="105"/>
        <v/>
      </c>
      <c r="X689" t="str">
        <f t="shared" si="106"/>
        <v/>
      </c>
      <c r="Y689" t="str">
        <f>IF(C689="","",IF(InventoryTable[[#This Row],[Stock Balance]]&lt;=0,"Sold Out",IF((InventoryTable[[#This Row],[Stock Balance]]/InventoryTable[[#This Row],[Total Pieces]])&lt;=0.25,"Low on Stocks","Available")))</f>
        <v/>
      </c>
    </row>
    <row r="690" spans="1:25" x14ac:dyDescent="0.3">
      <c r="A690" t="str">
        <f>IF(C690="","",_xlfn.CONCAT(LEFT(InventoryTable[[#This Row],[Category]],1),InventoryTable[[#This Row],[Product Pricing Type]],ROW()))</f>
        <v/>
      </c>
      <c r="H690" t="str">
        <f t="shared" si="107"/>
        <v/>
      </c>
      <c r="K690" t="str">
        <f t="shared" si="108"/>
        <v/>
      </c>
      <c r="N690" t="str">
        <f t="shared" si="109"/>
        <v/>
      </c>
      <c r="P690" t="str">
        <f t="shared" si="110"/>
        <v/>
      </c>
      <c r="Q690" s="4" t="str">
        <f t="shared" si="111"/>
        <v/>
      </c>
      <c r="R690" t="str">
        <f t="shared" si="112"/>
        <v/>
      </c>
      <c r="S690" t="str">
        <f t="shared" si="113"/>
        <v/>
      </c>
      <c r="T690" t="str">
        <f>IF(C690="","",InventoryTable[[#This Row],[Profit per Unit]]*InventoryTable[[#This Row],[Total Pieces]])</f>
        <v/>
      </c>
      <c r="U690" t="str">
        <f t="shared" si="104"/>
        <v/>
      </c>
      <c r="V690" t="str">
        <f>IF(C690="","",H690-InventoryTable[[#This Row],[Units Sold]])</f>
        <v/>
      </c>
      <c r="W690" t="str">
        <f t="shared" si="105"/>
        <v/>
      </c>
      <c r="X690" t="str">
        <f t="shared" si="106"/>
        <v/>
      </c>
      <c r="Y690" t="str">
        <f>IF(C690="","",IF(InventoryTable[[#This Row],[Stock Balance]]&lt;=0,"Sold Out",IF((InventoryTable[[#This Row],[Stock Balance]]/InventoryTable[[#This Row],[Total Pieces]])&lt;=0.25,"Low on Stocks","Available")))</f>
        <v/>
      </c>
    </row>
    <row r="691" spans="1:25" x14ac:dyDescent="0.3">
      <c r="A691" t="str">
        <f>IF(C691="","",_xlfn.CONCAT(LEFT(InventoryTable[[#This Row],[Category]],1),InventoryTable[[#This Row],[Product Pricing Type]],ROW()))</f>
        <v/>
      </c>
      <c r="H691" t="str">
        <f t="shared" si="107"/>
        <v/>
      </c>
      <c r="K691" t="str">
        <f t="shared" si="108"/>
        <v/>
      </c>
      <c r="N691" t="str">
        <f t="shared" si="109"/>
        <v/>
      </c>
      <c r="P691" t="str">
        <f t="shared" si="110"/>
        <v/>
      </c>
      <c r="Q691" s="4" t="str">
        <f t="shared" si="111"/>
        <v/>
      </c>
      <c r="R691" t="str">
        <f t="shared" si="112"/>
        <v/>
      </c>
      <c r="S691" t="str">
        <f t="shared" si="113"/>
        <v/>
      </c>
      <c r="T691" t="str">
        <f>IF(C691="","",InventoryTable[[#This Row],[Profit per Unit]]*InventoryTable[[#This Row],[Total Pieces]])</f>
        <v/>
      </c>
      <c r="U691" t="str">
        <f t="shared" si="104"/>
        <v/>
      </c>
      <c r="V691" t="str">
        <f>IF(C691="","",H691-InventoryTable[[#This Row],[Units Sold]])</f>
        <v/>
      </c>
      <c r="W691" t="str">
        <f t="shared" si="105"/>
        <v/>
      </c>
      <c r="X691" t="str">
        <f t="shared" si="106"/>
        <v/>
      </c>
      <c r="Y691" t="str">
        <f>IF(C691="","",IF(InventoryTable[[#This Row],[Stock Balance]]&lt;=0,"Sold Out",IF((InventoryTable[[#This Row],[Stock Balance]]/InventoryTable[[#This Row],[Total Pieces]])&lt;=0.25,"Low on Stocks","Available")))</f>
        <v/>
      </c>
    </row>
    <row r="692" spans="1:25" x14ac:dyDescent="0.3">
      <c r="A692" t="str">
        <f>IF(C692="","",_xlfn.CONCAT(LEFT(InventoryTable[[#This Row],[Category]],1),InventoryTable[[#This Row],[Product Pricing Type]],ROW()))</f>
        <v/>
      </c>
      <c r="H692" t="str">
        <f t="shared" si="107"/>
        <v/>
      </c>
      <c r="K692" t="str">
        <f t="shared" si="108"/>
        <v/>
      </c>
      <c r="N692" t="str">
        <f t="shared" si="109"/>
        <v/>
      </c>
      <c r="P692" t="str">
        <f t="shared" si="110"/>
        <v/>
      </c>
      <c r="Q692" s="4" t="str">
        <f t="shared" si="111"/>
        <v/>
      </c>
      <c r="R692" t="str">
        <f t="shared" si="112"/>
        <v/>
      </c>
      <c r="S692" t="str">
        <f t="shared" si="113"/>
        <v/>
      </c>
      <c r="T692" t="str">
        <f>IF(C692="","",InventoryTable[[#This Row],[Profit per Unit]]*InventoryTable[[#This Row],[Total Pieces]])</f>
        <v/>
      </c>
      <c r="U692" t="str">
        <f t="shared" si="104"/>
        <v/>
      </c>
      <c r="V692" t="str">
        <f>IF(C692="","",H692-InventoryTable[[#This Row],[Units Sold]])</f>
        <v/>
      </c>
      <c r="W692" t="str">
        <f t="shared" si="105"/>
        <v/>
      </c>
      <c r="X692" t="str">
        <f t="shared" si="106"/>
        <v/>
      </c>
      <c r="Y692" t="str">
        <f>IF(C692="","",IF(InventoryTable[[#This Row],[Stock Balance]]&lt;=0,"Sold Out",IF((InventoryTable[[#This Row],[Stock Balance]]/InventoryTable[[#This Row],[Total Pieces]])&lt;=0.25,"Low on Stocks","Available")))</f>
        <v/>
      </c>
    </row>
    <row r="693" spans="1:25" x14ac:dyDescent="0.3">
      <c r="A693" t="str">
        <f>IF(C693="","",_xlfn.CONCAT(LEFT(InventoryTable[[#This Row],[Category]],1),InventoryTable[[#This Row],[Product Pricing Type]],ROW()))</f>
        <v/>
      </c>
      <c r="H693" t="str">
        <f t="shared" si="107"/>
        <v/>
      </c>
      <c r="K693" t="str">
        <f t="shared" si="108"/>
        <v/>
      </c>
      <c r="N693" t="str">
        <f t="shared" si="109"/>
        <v/>
      </c>
      <c r="P693" t="str">
        <f t="shared" si="110"/>
        <v/>
      </c>
      <c r="Q693" s="4" t="str">
        <f t="shared" si="111"/>
        <v/>
      </c>
      <c r="R693" t="str">
        <f t="shared" si="112"/>
        <v/>
      </c>
      <c r="S693" t="str">
        <f t="shared" si="113"/>
        <v/>
      </c>
      <c r="T693" t="str">
        <f>IF(C693="","",InventoryTable[[#This Row],[Profit per Unit]]*InventoryTable[[#This Row],[Total Pieces]])</f>
        <v/>
      </c>
      <c r="U693" t="str">
        <f t="shared" si="104"/>
        <v/>
      </c>
      <c r="V693" t="str">
        <f>IF(C693="","",H693-InventoryTable[[#This Row],[Units Sold]])</f>
        <v/>
      </c>
      <c r="W693" t="str">
        <f t="shared" si="105"/>
        <v/>
      </c>
      <c r="X693" t="str">
        <f t="shared" si="106"/>
        <v/>
      </c>
      <c r="Y693" t="str">
        <f>IF(C693="","",IF(InventoryTable[[#This Row],[Stock Balance]]&lt;=0,"Sold Out",IF((InventoryTable[[#This Row],[Stock Balance]]/InventoryTable[[#This Row],[Total Pieces]])&lt;=0.25,"Low on Stocks","Available")))</f>
        <v/>
      </c>
    </row>
    <row r="694" spans="1:25" x14ac:dyDescent="0.3">
      <c r="A694" t="str">
        <f>IF(C694="","",_xlfn.CONCAT(LEFT(InventoryTable[[#This Row],[Category]],1),InventoryTable[[#This Row],[Product Pricing Type]],ROW()))</f>
        <v/>
      </c>
      <c r="H694" t="str">
        <f t="shared" si="107"/>
        <v/>
      </c>
      <c r="K694" t="str">
        <f t="shared" si="108"/>
        <v/>
      </c>
      <c r="N694" t="str">
        <f t="shared" si="109"/>
        <v/>
      </c>
      <c r="P694" t="str">
        <f t="shared" si="110"/>
        <v/>
      </c>
      <c r="Q694" s="4" t="str">
        <f t="shared" si="111"/>
        <v/>
      </c>
      <c r="R694" t="str">
        <f t="shared" si="112"/>
        <v/>
      </c>
      <c r="S694" t="str">
        <f t="shared" si="113"/>
        <v/>
      </c>
      <c r="T694" t="str">
        <f>IF(C694="","",InventoryTable[[#This Row],[Profit per Unit]]*InventoryTable[[#This Row],[Total Pieces]])</f>
        <v/>
      </c>
      <c r="U694" t="str">
        <f t="shared" si="104"/>
        <v/>
      </c>
      <c r="V694" t="str">
        <f>IF(C694="","",H694-InventoryTable[[#This Row],[Units Sold]])</f>
        <v/>
      </c>
      <c r="W694" t="str">
        <f t="shared" si="105"/>
        <v/>
      </c>
      <c r="X694" t="str">
        <f t="shared" si="106"/>
        <v/>
      </c>
      <c r="Y694" t="str">
        <f>IF(C694="","",IF(InventoryTable[[#This Row],[Stock Balance]]&lt;=0,"Sold Out",IF((InventoryTable[[#This Row],[Stock Balance]]/InventoryTable[[#This Row],[Total Pieces]])&lt;=0.25,"Low on Stocks","Available")))</f>
        <v/>
      </c>
    </row>
    <row r="695" spans="1:25" x14ac:dyDescent="0.3">
      <c r="A695" t="str">
        <f>IF(C695="","",_xlfn.CONCAT(LEFT(InventoryTable[[#This Row],[Category]],1),InventoryTable[[#This Row],[Product Pricing Type]],ROW()))</f>
        <v/>
      </c>
      <c r="H695" t="str">
        <f t="shared" si="107"/>
        <v/>
      </c>
      <c r="K695" t="str">
        <f t="shared" si="108"/>
        <v/>
      </c>
      <c r="N695" t="str">
        <f t="shared" si="109"/>
        <v/>
      </c>
      <c r="P695" t="str">
        <f t="shared" si="110"/>
        <v/>
      </c>
      <c r="Q695" s="4" t="str">
        <f t="shared" si="111"/>
        <v/>
      </c>
      <c r="R695" t="str">
        <f t="shared" si="112"/>
        <v/>
      </c>
      <c r="S695" t="str">
        <f t="shared" si="113"/>
        <v/>
      </c>
      <c r="T695" t="str">
        <f>IF(C695="","",InventoryTable[[#This Row],[Profit per Unit]]*InventoryTable[[#This Row],[Total Pieces]])</f>
        <v/>
      </c>
      <c r="U695" t="str">
        <f t="shared" si="104"/>
        <v/>
      </c>
      <c r="V695" t="str">
        <f>IF(C695="","",H695-InventoryTable[[#This Row],[Units Sold]])</f>
        <v/>
      </c>
      <c r="W695" t="str">
        <f t="shared" si="105"/>
        <v/>
      </c>
      <c r="X695" t="str">
        <f t="shared" si="106"/>
        <v/>
      </c>
      <c r="Y695" t="str">
        <f>IF(C695="","",IF(InventoryTable[[#This Row],[Stock Balance]]&lt;=0,"Sold Out",IF((InventoryTable[[#This Row],[Stock Balance]]/InventoryTable[[#This Row],[Total Pieces]])&lt;=0.25,"Low on Stocks","Available")))</f>
        <v/>
      </c>
    </row>
    <row r="696" spans="1:25" x14ac:dyDescent="0.3">
      <c r="A696" t="str">
        <f>IF(C696="","",_xlfn.CONCAT(LEFT(InventoryTable[[#This Row],[Category]],1),InventoryTable[[#This Row],[Product Pricing Type]],ROW()))</f>
        <v/>
      </c>
      <c r="H696" t="str">
        <f t="shared" si="107"/>
        <v/>
      </c>
      <c r="K696" t="str">
        <f t="shared" si="108"/>
        <v/>
      </c>
      <c r="N696" t="str">
        <f t="shared" si="109"/>
        <v/>
      </c>
      <c r="P696" t="str">
        <f t="shared" si="110"/>
        <v/>
      </c>
      <c r="Q696" s="4" t="str">
        <f t="shared" si="111"/>
        <v/>
      </c>
      <c r="R696" t="str">
        <f t="shared" si="112"/>
        <v/>
      </c>
      <c r="S696" t="str">
        <f t="shared" si="113"/>
        <v/>
      </c>
      <c r="T696" t="str">
        <f>IF(C696="","",InventoryTable[[#This Row],[Profit per Unit]]*InventoryTable[[#This Row],[Total Pieces]])</f>
        <v/>
      </c>
      <c r="U696" t="str">
        <f t="shared" si="104"/>
        <v/>
      </c>
      <c r="V696" t="str">
        <f>IF(C696="","",H696-InventoryTable[[#This Row],[Units Sold]])</f>
        <v/>
      </c>
      <c r="W696" t="str">
        <f t="shared" si="105"/>
        <v/>
      </c>
      <c r="X696" t="str">
        <f t="shared" si="106"/>
        <v/>
      </c>
      <c r="Y696" t="str">
        <f>IF(C696="","",IF(InventoryTable[[#This Row],[Stock Balance]]&lt;=0,"Sold Out",IF((InventoryTable[[#This Row],[Stock Balance]]/InventoryTable[[#This Row],[Total Pieces]])&lt;=0.25,"Low on Stocks","Available")))</f>
        <v/>
      </c>
    </row>
    <row r="697" spans="1:25" x14ac:dyDescent="0.3">
      <c r="A697" t="str">
        <f>IF(C697="","",_xlfn.CONCAT(LEFT(InventoryTable[[#This Row],[Category]],1),InventoryTable[[#This Row],[Product Pricing Type]],ROW()))</f>
        <v/>
      </c>
      <c r="H697" t="str">
        <f t="shared" si="107"/>
        <v/>
      </c>
      <c r="K697" t="str">
        <f t="shared" si="108"/>
        <v/>
      </c>
      <c r="N697" t="str">
        <f t="shared" si="109"/>
        <v/>
      </c>
      <c r="P697" t="str">
        <f t="shared" si="110"/>
        <v/>
      </c>
      <c r="Q697" s="4" t="str">
        <f t="shared" si="111"/>
        <v/>
      </c>
      <c r="R697" t="str">
        <f t="shared" si="112"/>
        <v/>
      </c>
      <c r="S697" t="str">
        <f t="shared" si="113"/>
        <v/>
      </c>
      <c r="T697" t="str">
        <f>IF(C697="","",InventoryTable[[#This Row],[Profit per Unit]]*InventoryTable[[#This Row],[Total Pieces]])</f>
        <v/>
      </c>
      <c r="U697" t="str">
        <f t="shared" si="104"/>
        <v/>
      </c>
      <c r="V697" t="str">
        <f>IF(C697="","",H697-InventoryTable[[#This Row],[Units Sold]])</f>
        <v/>
      </c>
      <c r="W697" t="str">
        <f t="shared" si="105"/>
        <v/>
      </c>
      <c r="X697" t="str">
        <f t="shared" si="106"/>
        <v/>
      </c>
      <c r="Y697" t="str">
        <f>IF(C697="","",IF(InventoryTable[[#This Row],[Stock Balance]]&lt;=0,"Sold Out",IF((InventoryTable[[#This Row],[Stock Balance]]/InventoryTable[[#This Row],[Total Pieces]])&lt;=0.25,"Low on Stocks","Available")))</f>
        <v/>
      </c>
    </row>
    <row r="698" spans="1:25" x14ac:dyDescent="0.3">
      <c r="A698" t="str">
        <f>IF(C698="","",_xlfn.CONCAT(LEFT(InventoryTable[[#This Row],[Category]],1),InventoryTable[[#This Row],[Product Pricing Type]],ROW()))</f>
        <v/>
      </c>
      <c r="H698" t="str">
        <f t="shared" si="107"/>
        <v/>
      </c>
      <c r="K698" t="str">
        <f t="shared" si="108"/>
        <v/>
      </c>
      <c r="N698" t="str">
        <f t="shared" si="109"/>
        <v/>
      </c>
      <c r="P698" t="str">
        <f t="shared" si="110"/>
        <v/>
      </c>
      <c r="Q698" s="4" t="str">
        <f t="shared" si="111"/>
        <v/>
      </c>
      <c r="R698" t="str">
        <f t="shared" si="112"/>
        <v/>
      </c>
      <c r="S698" t="str">
        <f t="shared" si="113"/>
        <v/>
      </c>
      <c r="T698" t="str">
        <f>IF(C698="","",InventoryTable[[#This Row],[Profit per Unit]]*InventoryTable[[#This Row],[Total Pieces]])</f>
        <v/>
      </c>
      <c r="U698" t="str">
        <f t="shared" si="104"/>
        <v/>
      </c>
      <c r="V698" t="str">
        <f>IF(C698="","",H698-InventoryTable[[#This Row],[Units Sold]])</f>
        <v/>
      </c>
      <c r="W698" t="str">
        <f t="shared" si="105"/>
        <v/>
      </c>
      <c r="X698" t="str">
        <f t="shared" si="106"/>
        <v/>
      </c>
      <c r="Y698" t="str">
        <f>IF(C698="","",IF(InventoryTable[[#This Row],[Stock Balance]]&lt;=0,"Sold Out",IF((InventoryTable[[#This Row],[Stock Balance]]/InventoryTable[[#This Row],[Total Pieces]])&lt;=0.25,"Low on Stocks","Available")))</f>
        <v/>
      </c>
    </row>
    <row r="699" spans="1:25" x14ac:dyDescent="0.3">
      <c r="A699" t="str">
        <f>IF(C699="","",_xlfn.CONCAT(LEFT(InventoryTable[[#This Row],[Category]],1),InventoryTable[[#This Row],[Product Pricing Type]],ROW()))</f>
        <v/>
      </c>
      <c r="H699" t="str">
        <f t="shared" si="107"/>
        <v/>
      </c>
      <c r="K699" t="str">
        <f t="shared" si="108"/>
        <v/>
      </c>
      <c r="N699" t="str">
        <f t="shared" si="109"/>
        <v/>
      </c>
      <c r="P699" t="str">
        <f t="shared" si="110"/>
        <v/>
      </c>
      <c r="Q699" s="4" t="str">
        <f t="shared" si="111"/>
        <v/>
      </c>
      <c r="R699" t="str">
        <f t="shared" si="112"/>
        <v/>
      </c>
      <c r="S699" t="str">
        <f t="shared" si="113"/>
        <v/>
      </c>
      <c r="T699" t="str">
        <f>IF(C699="","",InventoryTable[[#This Row],[Profit per Unit]]*InventoryTable[[#This Row],[Total Pieces]])</f>
        <v/>
      </c>
      <c r="U699" t="str">
        <f t="shared" si="104"/>
        <v/>
      </c>
      <c r="V699" t="str">
        <f>IF(C699="","",H699-InventoryTable[[#This Row],[Units Sold]])</f>
        <v/>
      </c>
      <c r="W699" t="str">
        <f t="shared" si="105"/>
        <v/>
      </c>
      <c r="X699" t="str">
        <f t="shared" si="106"/>
        <v/>
      </c>
      <c r="Y699" t="str">
        <f>IF(C699="","",IF(InventoryTable[[#This Row],[Stock Balance]]&lt;=0,"Sold Out",IF((InventoryTable[[#This Row],[Stock Balance]]/InventoryTable[[#This Row],[Total Pieces]])&lt;=0.25,"Low on Stocks","Available")))</f>
        <v/>
      </c>
    </row>
    <row r="700" spans="1:25" x14ac:dyDescent="0.3">
      <c r="A700" t="str">
        <f>IF(C700="","",_xlfn.CONCAT(LEFT(InventoryTable[[#This Row],[Category]],1),InventoryTable[[#This Row],[Product Pricing Type]],ROW()))</f>
        <v/>
      </c>
      <c r="H700" t="str">
        <f t="shared" si="107"/>
        <v/>
      </c>
      <c r="K700" t="str">
        <f t="shared" si="108"/>
        <v/>
      </c>
      <c r="N700" t="str">
        <f t="shared" si="109"/>
        <v/>
      </c>
      <c r="P700" t="str">
        <f t="shared" si="110"/>
        <v/>
      </c>
      <c r="Q700" s="4" t="str">
        <f t="shared" si="111"/>
        <v/>
      </c>
      <c r="R700" t="str">
        <f t="shared" si="112"/>
        <v/>
      </c>
      <c r="S700" t="str">
        <f t="shared" si="113"/>
        <v/>
      </c>
      <c r="T700" t="str">
        <f>IF(C700="","",InventoryTable[[#This Row],[Profit per Unit]]*InventoryTable[[#This Row],[Total Pieces]])</f>
        <v/>
      </c>
      <c r="U700" t="str">
        <f t="shared" si="104"/>
        <v/>
      </c>
      <c r="V700" t="str">
        <f>IF(C700="","",H700-InventoryTable[[#This Row],[Units Sold]])</f>
        <v/>
      </c>
      <c r="W700" t="str">
        <f t="shared" si="105"/>
        <v/>
      </c>
      <c r="X700" t="str">
        <f t="shared" si="106"/>
        <v/>
      </c>
      <c r="Y700" t="str">
        <f>IF(C700="","",IF(InventoryTable[[#This Row],[Stock Balance]]&lt;=0,"Sold Out",IF((InventoryTable[[#This Row],[Stock Balance]]/InventoryTable[[#This Row],[Total Pieces]])&lt;=0.25,"Low on Stocks","Available")))</f>
        <v/>
      </c>
    </row>
    <row r="701" spans="1:25" x14ac:dyDescent="0.3">
      <c r="A701" t="str">
        <f>IF(C701="","",_xlfn.CONCAT(LEFT(InventoryTable[[#This Row],[Category]],1),InventoryTable[[#This Row],[Product Pricing Type]],ROW()))</f>
        <v/>
      </c>
      <c r="H701" t="str">
        <f t="shared" si="107"/>
        <v/>
      </c>
      <c r="K701" t="str">
        <f t="shared" si="108"/>
        <v/>
      </c>
      <c r="N701" t="str">
        <f t="shared" si="109"/>
        <v/>
      </c>
      <c r="P701" t="str">
        <f t="shared" si="110"/>
        <v/>
      </c>
      <c r="Q701" s="4" t="str">
        <f t="shared" si="111"/>
        <v/>
      </c>
      <c r="R701" t="str">
        <f t="shared" si="112"/>
        <v/>
      </c>
      <c r="S701" t="str">
        <f t="shared" si="113"/>
        <v/>
      </c>
      <c r="T701" t="str">
        <f>IF(C701="","",InventoryTable[[#This Row],[Profit per Unit]]*InventoryTable[[#This Row],[Total Pieces]])</f>
        <v/>
      </c>
      <c r="U701" t="str">
        <f t="shared" ref="U701:U764" si="114">IF(C701="","",0)</f>
        <v/>
      </c>
      <c r="V701" t="str">
        <f>IF(C701="","",H701-InventoryTable[[#This Row],[Units Sold]])</f>
        <v/>
      </c>
      <c r="W701" t="str">
        <f t="shared" ref="W701:W764" si="115">IF(C701="","",Q701*U701)</f>
        <v/>
      </c>
      <c r="X701" t="str">
        <f t="shared" ref="X701:X764" si="116">IF(C701="","",S701*U701)</f>
        <v/>
      </c>
      <c r="Y701" t="str">
        <f>IF(C701="","",IF(InventoryTable[[#This Row],[Stock Balance]]&lt;=0,"Sold Out",IF((InventoryTable[[#This Row],[Stock Balance]]/InventoryTable[[#This Row],[Total Pieces]])&lt;=0.25,"Low on Stocks","Available")))</f>
        <v/>
      </c>
    </row>
    <row r="702" spans="1:25" x14ac:dyDescent="0.3">
      <c r="A702" t="str">
        <f>IF(C702="","",_xlfn.CONCAT(LEFT(InventoryTable[[#This Row],[Category]],1),InventoryTable[[#This Row],[Product Pricing Type]],ROW()))</f>
        <v/>
      </c>
      <c r="H702" t="str">
        <f t="shared" si="107"/>
        <v/>
      </c>
      <c r="K702" t="str">
        <f t="shared" si="108"/>
        <v/>
      </c>
      <c r="N702" t="str">
        <f t="shared" si="109"/>
        <v/>
      </c>
      <c r="P702" t="str">
        <f t="shared" si="110"/>
        <v/>
      </c>
      <c r="Q702" s="4" t="str">
        <f t="shared" si="111"/>
        <v/>
      </c>
      <c r="R702" t="str">
        <f t="shared" si="112"/>
        <v/>
      </c>
      <c r="S702" t="str">
        <f t="shared" si="113"/>
        <v/>
      </c>
      <c r="T702" t="str">
        <f>IF(C702="","",InventoryTable[[#This Row],[Profit per Unit]]*InventoryTable[[#This Row],[Total Pieces]])</f>
        <v/>
      </c>
      <c r="U702" t="str">
        <f t="shared" si="114"/>
        <v/>
      </c>
      <c r="V702" t="str">
        <f>IF(C702="","",H702-InventoryTable[[#This Row],[Units Sold]])</f>
        <v/>
      </c>
      <c r="W702" t="str">
        <f t="shared" si="115"/>
        <v/>
      </c>
      <c r="X702" t="str">
        <f t="shared" si="116"/>
        <v/>
      </c>
      <c r="Y702" t="str">
        <f>IF(C702="","",IF(InventoryTable[[#This Row],[Stock Balance]]&lt;=0,"Sold Out",IF((InventoryTable[[#This Row],[Stock Balance]]/InventoryTable[[#This Row],[Total Pieces]])&lt;=0.25,"Low on Stocks","Available")))</f>
        <v/>
      </c>
    </row>
    <row r="703" spans="1:25" x14ac:dyDescent="0.3">
      <c r="A703" t="str">
        <f>IF(C703="","",_xlfn.CONCAT(LEFT(InventoryTable[[#This Row],[Category]],1),InventoryTable[[#This Row],[Product Pricing Type]],ROW()))</f>
        <v/>
      </c>
      <c r="H703" t="str">
        <f t="shared" si="107"/>
        <v/>
      </c>
      <c r="K703" t="str">
        <f t="shared" si="108"/>
        <v/>
      </c>
      <c r="N703" t="str">
        <f t="shared" si="109"/>
        <v/>
      </c>
      <c r="P703" t="str">
        <f t="shared" si="110"/>
        <v/>
      </c>
      <c r="Q703" s="4" t="str">
        <f t="shared" si="111"/>
        <v/>
      </c>
      <c r="R703" t="str">
        <f t="shared" si="112"/>
        <v/>
      </c>
      <c r="S703" t="str">
        <f t="shared" si="113"/>
        <v/>
      </c>
      <c r="T703" t="str">
        <f>IF(C703="","",InventoryTable[[#This Row],[Profit per Unit]]*InventoryTable[[#This Row],[Total Pieces]])</f>
        <v/>
      </c>
      <c r="U703" t="str">
        <f t="shared" si="114"/>
        <v/>
      </c>
      <c r="V703" t="str">
        <f>IF(C703="","",H703-InventoryTable[[#This Row],[Units Sold]])</f>
        <v/>
      </c>
      <c r="W703" t="str">
        <f t="shared" si="115"/>
        <v/>
      </c>
      <c r="X703" t="str">
        <f t="shared" si="116"/>
        <v/>
      </c>
      <c r="Y703" t="str">
        <f>IF(C703="","",IF(InventoryTable[[#This Row],[Stock Balance]]&lt;=0,"Sold Out",IF((InventoryTable[[#This Row],[Stock Balance]]/InventoryTable[[#This Row],[Total Pieces]])&lt;=0.25,"Low on Stocks","Available")))</f>
        <v/>
      </c>
    </row>
    <row r="704" spans="1:25" x14ac:dyDescent="0.3">
      <c r="A704" t="str">
        <f>IF(C704="","",_xlfn.CONCAT(LEFT(InventoryTable[[#This Row],[Category]],1),InventoryTable[[#This Row],[Product Pricing Type]],ROW()))</f>
        <v/>
      </c>
      <c r="H704" t="str">
        <f t="shared" si="107"/>
        <v/>
      </c>
      <c r="K704" t="str">
        <f t="shared" si="108"/>
        <v/>
      </c>
      <c r="N704" t="str">
        <f t="shared" si="109"/>
        <v/>
      </c>
      <c r="P704" t="str">
        <f t="shared" si="110"/>
        <v/>
      </c>
      <c r="Q704" s="4" t="str">
        <f t="shared" si="111"/>
        <v/>
      </c>
      <c r="R704" t="str">
        <f t="shared" si="112"/>
        <v/>
      </c>
      <c r="S704" t="str">
        <f t="shared" si="113"/>
        <v/>
      </c>
      <c r="T704" t="str">
        <f>IF(C704="","",InventoryTable[[#This Row],[Profit per Unit]]*InventoryTable[[#This Row],[Total Pieces]])</f>
        <v/>
      </c>
      <c r="U704" t="str">
        <f t="shared" si="114"/>
        <v/>
      </c>
      <c r="V704" t="str">
        <f>IF(C704="","",H704-InventoryTable[[#This Row],[Units Sold]])</f>
        <v/>
      </c>
      <c r="W704" t="str">
        <f t="shared" si="115"/>
        <v/>
      </c>
      <c r="X704" t="str">
        <f t="shared" si="116"/>
        <v/>
      </c>
      <c r="Y704" t="str">
        <f>IF(C704="","",IF(InventoryTable[[#This Row],[Stock Balance]]&lt;=0,"Sold Out",IF((InventoryTable[[#This Row],[Stock Balance]]/InventoryTable[[#This Row],[Total Pieces]])&lt;=0.25,"Low on Stocks","Available")))</f>
        <v/>
      </c>
    </row>
    <row r="705" spans="1:25" x14ac:dyDescent="0.3">
      <c r="A705" t="str">
        <f>IF(C705="","",_xlfn.CONCAT(LEFT(InventoryTable[[#This Row],[Category]],1),InventoryTable[[#This Row],[Product Pricing Type]],ROW()))</f>
        <v/>
      </c>
      <c r="H705" t="str">
        <f t="shared" si="107"/>
        <v/>
      </c>
      <c r="K705" t="str">
        <f t="shared" si="108"/>
        <v/>
      </c>
      <c r="N705" t="str">
        <f t="shared" si="109"/>
        <v/>
      </c>
      <c r="P705" t="str">
        <f t="shared" si="110"/>
        <v/>
      </c>
      <c r="Q705" s="4" t="str">
        <f t="shared" si="111"/>
        <v/>
      </c>
      <c r="R705" t="str">
        <f t="shared" si="112"/>
        <v/>
      </c>
      <c r="S705" t="str">
        <f t="shared" si="113"/>
        <v/>
      </c>
      <c r="T705" t="str">
        <f>IF(C705="","",InventoryTable[[#This Row],[Profit per Unit]]*InventoryTable[[#This Row],[Total Pieces]])</f>
        <v/>
      </c>
      <c r="U705" t="str">
        <f t="shared" si="114"/>
        <v/>
      </c>
      <c r="V705" t="str">
        <f>IF(C705="","",H705-InventoryTable[[#This Row],[Units Sold]])</f>
        <v/>
      </c>
      <c r="W705" t="str">
        <f t="shared" si="115"/>
        <v/>
      </c>
      <c r="X705" t="str">
        <f t="shared" si="116"/>
        <v/>
      </c>
      <c r="Y705" t="str">
        <f>IF(C705="","",IF(InventoryTable[[#This Row],[Stock Balance]]&lt;=0,"Sold Out",IF((InventoryTable[[#This Row],[Stock Balance]]/InventoryTable[[#This Row],[Total Pieces]])&lt;=0.25,"Low on Stocks","Available")))</f>
        <v/>
      </c>
    </row>
    <row r="706" spans="1:25" x14ac:dyDescent="0.3">
      <c r="A706" t="str">
        <f>IF(C706="","",_xlfn.CONCAT(LEFT(InventoryTable[[#This Row],[Category]],1),InventoryTable[[#This Row],[Product Pricing Type]],ROW()))</f>
        <v/>
      </c>
      <c r="H706" t="str">
        <f t="shared" si="107"/>
        <v/>
      </c>
      <c r="K706" t="str">
        <f t="shared" si="108"/>
        <v/>
      </c>
      <c r="N706" t="str">
        <f t="shared" si="109"/>
        <v/>
      </c>
      <c r="P706" t="str">
        <f t="shared" si="110"/>
        <v/>
      </c>
      <c r="Q706" s="4" t="str">
        <f t="shared" si="111"/>
        <v/>
      </c>
      <c r="R706" t="str">
        <f t="shared" si="112"/>
        <v/>
      </c>
      <c r="S706" t="str">
        <f t="shared" si="113"/>
        <v/>
      </c>
      <c r="T706" t="str">
        <f>IF(C706="","",InventoryTable[[#This Row],[Profit per Unit]]*InventoryTable[[#This Row],[Total Pieces]])</f>
        <v/>
      </c>
      <c r="U706" t="str">
        <f t="shared" si="114"/>
        <v/>
      </c>
      <c r="V706" t="str">
        <f>IF(C706="","",H706-InventoryTable[[#This Row],[Units Sold]])</f>
        <v/>
      </c>
      <c r="W706" t="str">
        <f t="shared" si="115"/>
        <v/>
      </c>
      <c r="X706" t="str">
        <f t="shared" si="116"/>
        <v/>
      </c>
      <c r="Y706" t="str">
        <f>IF(C706="","",IF(InventoryTable[[#This Row],[Stock Balance]]&lt;=0,"Sold Out",IF((InventoryTable[[#This Row],[Stock Balance]]/InventoryTable[[#This Row],[Total Pieces]])&lt;=0.25,"Low on Stocks","Available")))</f>
        <v/>
      </c>
    </row>
    <row r="707" spans="1:25" x14ac:dyDescent="0.3">
      <c r="A707" t="str">
        <f>IF(C707="","",_xlfn.CONCAT(LEFT(InventoryTable[[#This Row],[Category]],1),InventoryTable[[#This Row],[Product Pricing Type]],ROW()))</f>
        <v/>
      </c>
      <c r="H707" t="str">
        <f t="shared" si="107"/>
        <v/>
      </c>
      <c r="K707" t="str">
        <f t="shared" si="108"/>
        <v/>
      </c>
      <c r="N707" t="str">
        <f t="shared" si="109"/>
        <v/>
      </c>
      <c r="P707" t="str">
        <f t="shared" si="110"/>
        <v/>
      </c>
      <c r="Q707" s="4" t="str">
        <f t="shared" si="111"/>
        <v/>
      </c>
      <c r="R707" t="str">
        <f t="shared" si="112"/>
        <v/>
      </c>
      <c r="S707" t="str">
        <f t="shared" si="113"/>
        <v/>
      </c>
      <c r="T707" t="str">
        <f>IF(C707="","",InventoryTable[[#This Row],[Profit per Unit]]*InventoryTable[[#This Row],[Total Pieces]])</f>
        <v/>
      </c>
      <c r="U707" t="str">
        <f t="shared" si="114"/>
        <v/>
      </c>
      <c r="V707" t="str">
        <f>IF(C707="","",H707-InventoryTable[[#This Row],[Units Sold]])</f>
        <v/>
      </c>
      <c r="W707" t="str">
        <f t="shared" si="115"/>
        <v/>
      </c>
      <c r="X707" t="str">
        <f t="shared" si="116"/>
        <v/>
      </c>
      <c r="Y707" t="str">
        <f>IF(C707="","",IF(InventoryTable[[#This Row],[Stock Balance]]&lt;=0,"Sold Out",IF((InventoryTable[[#This Row],[Stock Balance]]/InventoryTable[[#This Row],[Total Pieces]])&lt;=0.25,"Low on Stocks","Available")))</f>
        <v/>
      </c>
    </row>
    <row r="708" spans="1:25" x14ac:dyDescent="0.3">
      <c r="A708" t="str">
        <f>IF(C708="","",_xlfn.CONCAT(LEFT(InventoryTable[[#This Row],[Category]],1),InventoryTable[[#This Row],[Product Pricing Type]],ROW()))</f>
        <v/>
      </c>
      <c r="H708" t="str">
        <f t="shared" si="107"/>
        <v/>
      </c>
      <c r="K708" t="str">
        <f t="shared" si="108"/>
        <v/>
      </c>
      <c r="N708" t="str">
        <f t="shared" si="109"/>
        <v/>
      </c>
      <c r="P708" t="str">
        <f t="shared" si="110"/>
        <v/>
      </c>
      <c r="Q708" s="4" t="str">
        <f t="shared" si="111"/>
        <v/>
      </c>
      <c r="R708" t="str">
        <f t="shared" si="112"/>
        <v/>
      </c>
      <c r="S708" t="str">
        <f t="shared" si="113"/>
        <v/>
      </c>
      <c r="T708" t="str">
        <f>IF(C708="","",InventoryTable[[#This Row],[Profit per Unit]]*InventoryTable[[#This Row],[Total Pieces]])</f>
        <v/>
      </c>
      <c r="U708" t="str">
        <f t="shared" si="114"/>
        <v/>
      </c>
      <c r="V708" t="str">
        <f>IF(C708="","",H708-InventoryTable[[#This Row],[Units Sold]])</f>
        <v/>
      </c>
      <c r="W708" t="str">
        <f t="shared" si="115"/>
        <v/>
      </c>
      <c r="X708" t="str">
        <f t="shared" si="116"/>
        <v/>
      </c>
      <c r="Y708" t="str">
        <f>IF(C708="","",IF(InventoryTable[[#This Row],[Stock Balance]]&lt;=0,"Sold Out",IF((InventoryTable[[#This Row],[Stock Balance]]/InventoryTable[[#This Row],[Total Pieces]])&lt;=0.25,"Low on Stocks","Available")))</f>
        <v/>
      </c>
    </row>
    <row r="709" spans="1:25" x14ac:dyDescent="0.3">
      <c r="A709" t="str">
        <f>IF(C709="","",_xlfn.CONCAT(LEFT(InventoryTable[[#This Row],[Category]],1),InventoryTable[[#This Row],[Product Pricing Type]],ROW()))</f>
        <v/>
      </c>
      <c r="H709" t="str">
        <f t="shared" si="107"/>
        <v/>
      </c>
      <c r="K709" t="str">
        <f t="shared" si="108"/>
        <v/>
      </c>
      <c r="N709" t="str">
        <f t="shared" si="109"/>
        <v/>
      </c>
      <c r="P709" t="str">
        <f t="shared" si="110"/>
        <v/>
      </c>
      <c r="Q709" s="4" t="str">
        <f t="shared" si="111"/>
        <v/>
      </c>
      <c r="R709" t="str">
        <f t="shared" si="112"/>
        <v/>
      </c>
      <c r="S709" t="str">
        <f t="shared" si="113"/>
        <v/>
      </c>
      <c r="T709" t="str">
        <f>IF(C709="","",InventoryTable[[#This Row],[Profit per Unit]]*InventoryTable[[#This Row],[Total Pieces]])</f>
        <v/>
      </c>
      <c r="U709" t="str">
        <f t="shared" si="114"/>
        <v/>
      </c>
      <c r="V709" t="str">
        <f>IF(C709="","",H709-InventoryTable[[#This Row],[Units Sold]])</f>
        <v/>
      </c>
      <c r="W709" t="str">
        <f t="shared" si="115"/>
        <v/>
      </c>
      <c r="X709" t="str">
        <f t="shared" si="116"/>
        <v/>
      </c>
      <c r="Y709" t="str">
        <f>IF(C709="","",IF(InventoryTable[[#This Row],[Stock Balance]]&lt;=0,"Sold Out",IF((InventoryTable[[#This Row],[Stock Balance]]/InventoryTable[[#This Row],[Total Pieces]])&lt;=0.25,"Low on Stocks","Available")))</f>
        <v/>
      </c>
    </row>
    <row r="710" spans="1:25" x14ac:dyDescent="0.3">
      <c r="A710" t="str">
        <f>IF(C710="","",_xlfn.CONCAT(LEFT(InventoryTable[[#This Row],[Category]],1),InventoryTable[[#This Row],[Product Pricing Type]],ROW()))</f>
        <v/>
      </c>
      <c r="H710" t="str">
        <f t="shared" si="107"/>
        <v/>
      </c>
      <c r="K710" t="str">
        <f t="shared" si="108"/>
        <v/>
      </c>
      <c r="N710" t="str">
        <f t="shared" si="109"/>
        <v/>
      </c>
      <c r="P710" t="str">
        <f t="shared" si="110"/>
        <v/>
      </c>
      <c r="Q710" s="4" t="str">
        <f t="shared" si="111"/>
        <v/>
      </c>
      <c r="R710" t="str">
        <f t="shared" si="112"/>
        <v/>
      </c>
      <c r="S710" t="str">
        <f t="shared" si="113"/>
        <v/>
      </c>
      <c r="T710" t="str">
        <f>IF(C710="","",InventoryTable[[#This Row],[Profit per Unit]]*InventoryTable[[#This Row],[Total Pieces]])</f>
        <v/>
      </c>
      <c r="U710" t="str">
        <f t="shared" si="114"/>
        <v/>
      </c>
      <c r="V710" t="str">
        <f>IF(C710="","",H710-InventoryTable[[#This Row],[Units Sold]])</f>
        <v/>
      </c>
      <c r="W710" t="str">
        <f t="shared" si="115"/>
        <v/>
      </c>
      <c r="X710" t="str">
        <f t="shared" si="116"/>
        <v/>
      </c>
      <c r="Y710" t="str">
        <f>IF(C710="","",IF(InventoryTable[[#This Row],[Stock Balance]]&lt;=0,"Sold Out",IF((InventoryTable[[#This Row],[Stock Balance]]/InventoryTable[[#This Row],[Total Pieces]])&lt;=0.25,"Low on Stocks","Available")))</f>
        <v/>
      </c>
    </row>
    <row r="711" spans="1:25" x14ac:dyDescent="0.3">
      <c r="A711" t="str">
        <f>IF(C711="","",_xlfn.CONCAT(LEFT(InventoryTable[[#This Row],[Category]],1),InventoryTable[[#This Row],[Product Pricing Type]],ROW()))</f>
        <v/>
      </c>
      <c r="H711" t="str">
        <f t="shared" si="107"/>
        <v/>
      </c>
      <c r="K711" t="str">
        <f t="shared" si="108"/>
        <v/>
      </c>
      <c r="N711" t="str">
        <f t="shared" si="109"/>
        <v/>
      </c>
      <c r="P711" t="str">
        <f t="shared" si="110"/>
        <v/>
      </c>
      <c r="Q711" s="4" t="str">
        <f t="shared" si="111"/>
        <v/>
      </c>
      <c r="R711" t="str">
        <f t="shared" si="112"/>
        <v/>
      </c>
      <c r="S711" t="str">
        <f t="shared" si="113"/>
        <v/>
      </c>
      <c r="T711" t="str">
        <f>IF(C711="","",InventoryTable[[#This Row],[Profit per Unit]]*InventoryTable[[#This Row],[Total Pieces]])</f>
        <v/>
      </c>
      <c r="U711" t="str">
        <f t="shared" si="114"/>
        <v/>
      </c>
      <c r="V711" t="str">
        <f>IF(C711="","",H711-InventoryTable[[#This Row],[Units Sold]])</f>
        <v/>
      </c>
      <c r="W711" t="str">
        <f t="shared" si="115"/>
        <v/>
      </c>
      <c r="X711" t="str">
        <f t="shared" si="116"/>
        <v/>
      </c>
      <c r="Y711" t="str">
        <f>IF(C711="","",IF(InventoryTable[[#This Row],[Stock Balance]]&lt;=0,"Sold Out",IF((InventoryTable[[#This Row],[Stock Balance]]/InventoryTable[[#This Row],[Total Pieces]])&lt;=0.25,"Low on Stocks","Available")))</f>
        <v/>
      </c>
    </row>
    <row r="712" spans="1:25" x14ac:dyDescent="0.3">
      <c r="A712" t="str">
        <f>IF(C712="","",_xlfn.CONCAT(LEFT(InventoryTable[[#This Row],[Category]],1),InventoryTable[[#This Row],[Product Pricing Type]],ROW()))</f>
        <v/>
      </c>
      <c r="H712" t="str">
        <f t="shared" si="107"/>
        <v/>
      </c>
      <c r="K712" t="str">
        <f t="shared" si="108"/>
        <v/>
      </c>
      <c r="N712" t="str">
        <f t="shared" si="109"/>
        <v/>
      </c>
      <c r="P712" t="str">
        <f t="shared" si="110"/>
        <v/>
      </c>
      <c r="Q712" s="4" t="str">
        <f t="shared" si="111"/>
        <v/>
      </c>
      <c r="R712" t="str">
        <f t="shared" si="112"/>
        <v/>
      </c>
      <c r="S712" t="str">
        <f t="shared" si="113"/>
        <v/>
      </c>
      <c r="T712" t="str">
        <f>IF(C712="","",InventoryTable[[#This Row],[Profit per Unit]]*InventoryTable[[#This Row],[Total Pieces]])</f>
        <v/>
      </c>
      <c r="U712" t="str">
        <f t="shared" si="114"/>
        <v/>
      </c>
      <c r="V712" t="str">
        <f>IF(C712="","",H712-InventoryTable[[#This Row],[Units Sold]])</f>
        <v/>
      </c>
      <c r="W712" t="str">
        <f t="shared" si="115"/>
        <v/>
      </c>
      <c r="X712" t="str">
        <f t="shared" si="116"/>
        <v/>
      </c>
      <c r="Y712" t="str">
        <f>IF(C712="","",IF(InventoryTable[[#This Row],[Stock Balance]]&lt;=0,"Sold Out",IF((InventoryTable[[#This Row],[Stock Balance]]/InventoryTable[[#This Row],[Total Pieces]])&lt;=0.25,"Low on Stocks","Available")))</f>
        <v/>
      </c>
    </row>
    <row r="713" spans="1:25" x14ac:dyDescent="0.3">
      <c r="A713" t="str">
        <f>IF(C713="","",_xlfn.CONCAT(LEFT(InventoryTable[[#This Row],[Category]],1),InventoryTable[[#This Row],[Product Pricing Type]],ROW()))</f>
        <v/>
      </c>
      <c r="H713" t="str">
        <f t="shared" si="107"/>
        <v/>
      </c>
      <c r="K713" t="str">
        <f t="shared" si="108"/>
        <v/>
      </c>
      <c r="N713" t="str">
        <f t="shared" si="109"/>
        <v/>
      </c>
      <c r="P713" t="str">
        <f t="shared" si="110"/>
        <v/>
      </c>
      <c r="Q713" s="4" t="str">
        <f t="shared" si="111"/>
        <v/>
      </c>
      <c r="R713" t="str">
        <f t="shared" si="112"/>
        <v/>
      </c>
      <c r="S713" t="str">
        <f t="shared" si="113"/>
        <v/>
      </c>
      <c r="T713" t="str">
        <f>IF(C713="","",InventoryTable[[#This Row],[Profit per Unit]]*InventoryTable[[#This Row],[Total Pieces]])</f>
        <v/>
      </c>
      <c r="U713" t="str">
        <f t="shared" si="114"/>
        <v/>
      </c>
      <c r="V713" t="str">
        <f>IF(C713="","",H713-InventoryTable[[#This Row],[Units Sold]])</f>
        <v/>
      </c>
      <c r="W713" t="str">
        <f t="shared" si="115"/>
        <v/>
      </c>
      <c r="X713" t="str">
        <f t="shared" si="116"/>
        <v/>
      </c>
      <c r="Y713" t="str">
        <f>IF(C713="","",IF(InventoryTable[[#This Row],[Stock Balance]]&lt;=0,"Sold Out",IF((InventoryTable[[#This Row],[Stock Balance]]/InventoryTable[[#This Row],[Total Pieces]])&lt;=0.25,"Low on Stocks","Available")))</f>
        <v/>
      </c>
    </row>
    <row r="714" spans="1:25" x14ac:dyDescent="0.3">
      <c r="A714" t="str">
        <f>IF(C714="","",_xlfn.CONCAT(LEFT(InventoryTable[[#This Row],[Category]],1),InventoryTable[[#This Row],[Product Pricing Type]],ROW()))</f>
        <v/>
      </c>
      <c r="H714" t="str">
        <f t="shared" si="107"/>
        <v/>
      </c>
      <c r="K714" t="str">
        <f t="shared" si="108"/>
        <v/>
      </c>
      <c r="N714" t="str">
        <f t="shared" si="109"/>
        <v/>
      </c>
      <c r="P714" t="str">
        <f t="shared" si="110"/>
        <v/>
      </c>
      <c r="Q714" s="4" t="str">
        <f t="shared" si="111"/>
        <v/>
      </c>
      <c r="R714" t="str">
        <f t="shared" si="112"/>
        <v/>
      </c>
      <c r="S714" t="str">
        <f t="shared" si="113"/>
        <v/>
      </c>
      <c r="T714" t="str">
        <f>IF(C714="","",InventoryTable[[#This Row],[Profit per Unit]]*InventoryTable[[#This Row],[Total Pieces]])</f>
        <v/>
      </c>
      <c r="U714" t="str">
        <f t="shared" si="114"/>
        <v/>
      </c>
      <c r="V714" t="str">
        <f>IF(C714="","",H714-InventoryTable[[#This Row],[Units Sold]])</f>
        <v/>
      </c>
      <c r="W714" t="str">
        <f t="shared" si="115"/>
        <v/>
      </c>
      <c r="X714" t="str">
        <f t="shared" si="116"/>
        <v/>
      </c>
      <c r="Y714" t="str">
        <f>IF(C714="","",IF(InventoryTable[[#This Row],[Stock Balance]]&lt;=0,"Sold Out",IF((InventoryTable[[#This Row],[Stock Balance]]/InventoryTable[[#This Row],[Total Pieces]])&lt;=0.25,"Low on Stocks","Available")))</f>
        <v/>
      </c>
    </row>
    <row r="715" spans="1:25" x14ac:dyDescent="0.3">
      <c r="A715" t="str">
        <f>IF(C715="","",_xlfn.CONCAT(LEFT(InventoryTable[[#This Row],[Category]],1),InventoryTable[[#This Row],[Product Pricing Type]],ROW()))</f>
        <v/>
      </c>
      <c r="H715" t="str">
        <f t="shared" si="107"/>
        <v/>
      </c>
      <c r="K715" t="str">
        <f t="shared" si="108"/>
        <v/>
      </c>
      <c r="N715" t="str">
        <f t="shared" si="109"/>
        <v/>
      </c>
      <c r="P715" t="str">
        <f t="shared" si="110"/>
        <v/>
      </c>
      <c r="Q715" s="4" t="str">
        <f t="shared" si="111"/>
        <v/>
      </c>
      <c r="R715" t="str">
        <f t="shared" si="112"/>
        <v/>
      </c>
      <c r="S715" t="str">
        <f t="shared" si="113"/>
        <v/>
      </c>
      <c r="T715" t="str">
        <f>IF(C715="","",InventoryTable[[#This Row],[Profit per Unit]]*InventoryTable[[#This Row],[Total Pieces]])</f>
        <v/>
      </c>
      <c r="U715" t="str">
        <f t="shared" si="114"/>
        <v/>
      </c>
      <c r="V715" t="str">
        <f>IF(C715="","",H715-InventoryTable[[#This Row],[Units Sold]])</f>
        <v/>
      </c>
      <c r="W715" t="str">
        <f t="shared" si="115"/>
        <v/>
      </c>
      <c r="X715" t="str">
        <f t="shared" si="116"/>
        <v/>
      </c>
      <c r="Y715" t="str">
        <f>IF(C715="","",IF(InventoryTable[[#This Row],[Stock Balance]]&lt;=0,"Sold Out",IF((InventoryTable[[#This Row],[Stock Balance]]/InventoryTable[[#This Row],[Total Pieces]])&lt;=0.25,"Low on Stocks","Available")))</f>
        <v/>
      </c>
    </row>
    <row r="716" spans="1:25" x14ac:dyDescent="0.3">
      <c r="A716" t="str">
        <f>IF(C716="","",_xlfn.CONCAT(LEFT(InventoryTable[[#This Row],[Category]],1),InventoryTable[[#This Row],[Product Pricing Type]],ROW()))</f>
        <v/>
      </c>
      <c r="H716" t="str">
        <f t="shared" si="107"/>
        <v/>
      </c>
      <c r="K716" t="str">
        <f t="shared" si="108"/>
        <v/>
      </c>
      <c r="N716" t="str">
        <f t="shared" si="109"/>
        <v/>
      </c>
      <c r="P716" t="str">
        <f t="shared" si="110"/>
        <v/>
      </c>
      <c r="Q716" s="4" t="str">
        <f t="shared" si="111"/>
        <v/>
      </c>
      <c r="R716" t="str">
        <f t="shared" si="112"/>
        <v/>
      </c>
      <c r="S716" t="str">
        <f t="shared" si="113"/>
        <v/>
      </c>
      <c r="T716" t="str">
        <f>IF(C716="","",InventoryTable[[#This Row],[Profit per Unit]]*InventoryTable[[#This Row],[Total Pieces]])</f>
        <v/>
      </c>
      <c r="U716" t="str">
        <f t="shared" si="114"/>
        <v/>
      </c>
      <c r="V716" t="str">
        <f>IF(C716="","",H716-InventoryTable[[#This Row],[Units Sold]])</f>
        <v/>
      </c>
      <c r="W716" t="str">
        <f t="shared" si="115"/>
        <v/>
      </c>
      <c r="X716" t="str">
        <f t="shared" si="116"/>
        <v/>
      </c>
      <c r="Y716" t="str">
        <f>IF(C716="","",IF(InventoryTable[[#This Row],[Stock Balance]]&lt;=0,"Sold Out",IF((InventoryTable[[#This Row],[Stock Balance]]/InventoryTable[[#This Row],[Total Pieces]])&lt;=0.25,"Low on Stocks","Available")))</f>
        <v/>
      </c>
    </row>
    <row r="717" spans="1:25" x14ac:dyDescent="0.3">
      <c r="A717" t="str">
        <f>IF(C717="","",_xlfn.CONCAT(LEFT(InventoryTable[[#This Row],[Category]],1),InventoryTable[[#This Row],[Product Pricing Type]],ROW()))</f>
        <v/>
      </c>
      <c r="H717" t="str">
        <f t="shared" si="107"/>
        <v/>
      </c>
      <c r="K717" t="str">
        <f t="shared" si="108"/>
        <v/>
      </c>
      <c r="N717" t="str">
        <f t="shared" si="109"/>
        <v/>
      </c>
      <c r="P717" t="str">
        <f t="shared" si="110"/>
        <v/>
      </c>
      <c r="Q717" s="4" t="str">
        <f t="shared" si="111"/>
        <v/>
      </c>
      <c r="R717" t="str">
        <f t="shared" si="112"/>
        <v/>
      </c>
      <c r="S717" t="str">
        <f t="shared" si="113"/>
        <v/>
      </c>
      <c r="T717" t="str">
        <f>IF(C717="","",InventoryTable[[#This Row],[Profit per Unit]]*InventoryTable[[#This Row],[Total Pieces]])</f>
        <v/>
      </c>
      <c r="U717" t="str">
        <f t="shared" si="114"/>
        <v/>
      </c>
      <c r="V717" t="str">
        <f>IF(C717="","",H717-InventoryTable[[#This Row],[Units Sold]])</f>
        <v/>
      </c>
      <c r="W717" t="str">
        <f t="shared" si="115"/>
        <v/>
      </c>
      <c r="X717" t="str">
        <f t="shared" si="116"/>
        <v/>
      </c>
      <c r="Y717" t="str">
        <f>IF(C717="","",IF(InventoryTable[[#This Row],[Stock Balance]]&lt;=0,"Sold Out",IF((InventoryTable[[#This Row],[Stock Balance]]/InventoryTable[[#This Row],[Total Pieces]])&lt;=0.25,"Low on Stocks","Available")))</f>
        <v/>
      </c>
    </row>
    <row r="718" spans="1:25" x14ac:dyDescent="0.3">
      <c r="A718" t="str">
        <f>IF(C718="","",_xlfn.CONCAT(LEFT(InventoryTable[[#This Row],[Category]],1),InventoryTable[[#This Row],[Product Pricing Type]],ROW()))</f>
        <v/>
      </c>
      <c r="H718" t="str">
        <f t="shared" si="107"/>
        <v/>
      </c>
      <c r="K718" t="str">
        <f t="shared" si="108"/>
        <v/>
      </c>
      <c r="N718" t="str">
        <f t="shared" si="109"/>
        <v/>
      </c>
      <c r="P718" t="str">
        <f t="shared" si="110"/>
        <v/>
      </c>
      <c r="Q718" s="4" t="str">
        <f t="shared" si="111"/>
        <v/>
      </c>
      <c r="R718" t="str">
        <f t="shared" si="112"/>
        <v/>
      </c>
      <c r="S718" t="str">
        <f t="shared" si="113"/>
        <v/>
      </c>
      <c r="T718" t="str">
        <f>IF(C718="","",InventoryTable[[#This Row],[Profit per Unit]]*InventoryTable[[#This Row],[Total Pieces]])</f>
        <v/>
      </c>
      <c r="U718" t="str">
        <f t="shared" si="114"/>
        <v/>
      </c>
      <c r="V718" t="str">
        <f>IF(C718="","",H718-InventoryTable[[#This Row],[Units Sold]])</f>
        <v/>
      </c>
      <c r="W718" t="str">
        <f t="shared" si="115"/>
        <v/>
      </c>
      <c r="X718" t="str">
        <f t="shared" si="116"/>
        <v/>
      </c>
      <c r="Y718" t="str">
        <f>IF(C718="","",IF(InventoryTable[[#This Row],[Stock Balance]]&lt;=0,"Sold Out",IF((InventoryTable[[#This Row],[Stock Balance]]/InventoryTable[[#This Row],[Total Pieces]])&lt;=0.25,"Low on Stocks","Available")))</f>
        <v/>
      </c>
    </row>
    <row r="719" spans="1:25" x14ac:dyDescent="0.3">
      <c r="A719" t="str">
        <f>IF(C719="","",_xlfn.CONCAT(LEFT(InventoryTable[[#This Row],[Category]],1),InventoryTable[[#This Row],[Product Pricing Type]],ROW()))</f>
        <v/>
      </c>
      <c r="H719" t="str">
        <f t="shared" si="107"/>
        <v/>
      </c>
      <c r="K719" t="str">
        <f t="shared" si="108"/>
        <v/>
      </c>
      <c r="N719" t="str">
        <f t="shared" si="109"/>
        <v/>
      </c>
      <c r="P719" t="str">
        <f t="shared" si="110"/>
        <v/>
      </c>
      <c r="Q719" s="4" t="str">
        <f t="shared" si="111"/>
        <v/>
      </c>
      <c r="R719" t="str">
        <f t="shared" si="112"/>
        <v/>
      </c>
      <c r="S719" t="str">
        <f t="shared" si="113"/>
        <v/>
      </c>
      <c r="T719" t="str">
        <f>IF(C719="","",InventoryTable[[#This Row],[Profit per Unit]]*InventoryTable[[#This Row],[Total Pieces]])</f>
        <v/>
      </c>
      <c r="U719" t="str">
        <f t="shared" si="114"/>
        <v/>
      </c>
      <c r="V719" t="str">
        <f>IF(C719="","",H719-InventoryTable[[#This Row],[Units Sold]])</f>
        <v/>
      </c>
      <c r="W719" t="str">
        <f t="shared" si="115"/>
        <v/>
      </c>
      <c r="X719" t="str">
        <f t="shared" si="116"/>
        <v/>
      </c>
      <c r="Y719" t="str">
        <f>IF(C719="","",IF(InventoryTable[[#This Row],[Stock Balance]]&lt;=0,"Sold Out",IF((InventoryTable[[#This Row],[Stock Balance]]/InventoryTable[[#This Row],[Total Pieces]])&lt;=0.25,"Low on Stocks","Available")))</f>
        <v/>
      </c>
    </row>
    <row r="720" spans="1:25" x14ac:dyDescent="0.3">
      <c r="A720" t="str">
        <f>IF(C720="","",_xlfn.CONCAT(LEFT(InventoryTable[[#This Row],[Category]],1),InventoryTable[[#This Row],[Product Pricing Type]],ROW()))</f>
        <v/>
      </c>
      <c r="H720" t="str">
        <f t="shared" si="107"/>
        <v/>
      </c>
      <c r="K720" t="str">
        <f t="shared" si="108"/>
        <v/>
      </c>
      <c r="N720" t="str">
        <f t="shared" si="109"/>
        <v/>
      </c>
      <c r="P720" t="str">
        <f t="shared" si="110"/>
        <v/>
      </c>
      <c r="Q720" s="4" t="str">
        <f t="shared" si="111"/>
        <v/>
      </c>
      <c r="R720" t="str">
        <f t="shared" si="112"/>
        <v/>
      </c>
      <c r="S720" t="str">
        <f t="shared" si="113"/>
        <v/>
      </c>
      <c r="T720" t="str">
        <f>IF(C720="","",InventoryTable[[#This Row],[Profit per Unit]]*InventoryTable[[#This Row],[Total Pieces]])</f>
        <v/>
      </c>
      <c r="U720" t="str">
        <f t="shared" si="114"/>
        <v/>
      </c>
      <c r="V720" t="str">
        <f>IF(C720="","",H720-InventoryTable[[#This Row],[Units Sold]])</f>
        <v/>
      </c>
      <c r="W720" t="str">
        <f t="shared" si="115"/>
        <v/>
      </c>
      <c r="X720" t="str">
        <f t="shared" si="116"/>
        <v/>
      </c>
      <c r="Y720" t="str">
        <f>IF(C720="","",IF(InventoryTable[[#This Row],[Stock Balance]]&lt;=0,"Sold Out",IF((InventoryTable[[#This Row],[Stock Balance]]/InventoryTable[[#This Row],[Total Pieces]])&lt;=0.25,"Low on Stocks","Available")))</f>
        <v/>
      </c>
    </row>
    <row r="721" spans="1:25" x14ac:dyDescent="0.3">
      <c r="A721" t="str">
        <f>IF(C721="","",_xlfn.CONCAT(LEFT(InventoryTable[[#This Row],[Category]],1),InventoryTable[[#This Row],[Product Pricing Type]],ROW()))</f>
        <v/>
      </c>
      <c r="H721" t="str">
        <f t="shared" si="107"/>
        <v/>
      </c>
      <c r="K721" t="str">
        <f t="shared" si="108"/>
        <v/>
      </c>
      <c r="N721" t="str">
        <f t="shared" si="109"/>
        <v/>
      </c>
      <c r="P721" t="str">
        <f t="shared" si="110"/>
        <v/>
      </c>
      <c r="Q721" s="4" t="str">
        <f t="shared" si="111"/>
        <v/>
      </c>
      <c r="R721" t="str">
        <f t="shared" si="112"/>
        <v/>
      </c>
      <c r="S721" t="str">
        <f t="shared" si="113"/>
        <v/>
      </c>
      <c r="T721" t="str">
        <f>IF(C721="","",InventoryTable[[#This Row],[Profit per Unit]]*InventoryTable[[#This Row],[Total Pieces]])</f>
        <v/>
      </c>
      <c r="U721" t="str">
        <f t="shared" si="114"/>
        <v/>
      </c>
      <c r="V721" t="str">
        <f>IF(C721="","",H721-InventoryTable[[#This Row],[Units Sold]])</f>
        <v/>
      </c>
      <c r="W721" t="str">
        <f t="shared" si="115"/>
        <v/>
      </c>
      <c r="X721" t="str">
        <f t="shared" si="116"/>
        <v/>
      </c>
      <c r="Y721" t="str">
        <f>IF(C721="","",IF(InventoryTable[[#This Row],[Stock Balance]]&lt;=0,"Sold Out",IF((InventoryTable[[#This Row],[Stock Balance]]/InventoryTable[[#This Row],[Total Pieces]])&lt;=0.25,"Low on Stocks","Available")))</f>
        <v/>
      </c>
    </row>
    <row r="722" spans="1:25" x14ac:dyDescent="0.3">
      <c r="A722" t="str">
        <f>IF(C722="","",_xlfn.CONCAT(LEFT(InventoryTable[[#This Row],[Category]],1),InventoryTable[[#This Row],[Product Pricing Type]],ROW()))</f>
        <v/>
      </c>
      <c r="H722" t="str">
        <f t="shared" si="107"/>
        <v/>
      </c>
      <c r="K722" t="str">
        <f t="shared" si="108"/>
        <v/>
      </c>
      <c r="N722" t="str">
        <f t="shared" si="109"/>
        <v/>
      </c>
      <c r="P722" t="str">
        <f t="shared" si="110"/>
        <v/>
      </c>
      <c r="Q722" s="4" t="str">
        <f t="shared" si="111"/>
        <v/>
      </c>
      <c r="R722" t="str">
        <f t="shared" si="112"/>
        <v/>
      </c>
      <c r="S722" t="str">
        <f t="shared" si="113"/>
        <v/>
      </c>
      <c r="T722" t="str">
        <f>IF(C722="","",InventoryTable[[#This Row],[Profit per Unit]]*InventoryTable[[#This Row],[Total Pieces]])</f>
        <v/>
      </c>
      <c r="U722" t="str">
        <f t="shared" si="114"/>
        <v/>
      </c>
      <c r="V722" t="str">
        <f>IF(C722="","",H722-InventoryTable[[#This Row],[Units Sold]])</f>
        <v/>
      </c>
      <c r="W722" t="str">
        <f t="shared" si="115"/>
        <v/>
      </c>
      <c r="X722" t="str">
        <f t="shared" si="116"/>
        <v/>
      </c>
      <c r="Y722" t="str">
        <f>IF(C722="","",IF(InventoryTable[[#This Row],[Stock Balance]]&lt;=0,"Sold Out",IF((InventoryTable[[#This Row],[Stock Balance]]/InventoryTable[[#This Row],[Total Pieces]])&lt;=0.25,"Low on Stocks","Available")))</f>
        <v/>
      </c>
    </row>
    <row r="723" spans="1:25" x14ac:dyDescent="0.3">
      <c r="A723" t="str">
        <f>IF(C723="","",_xlfn.CONCAT(LEFT(InventoryTable[[#This Row],[Category]],1),InventoryTable[[#This Row],[Product Pricing Type]],ROW()))</f>
        <v/>
      </c>
      <c r="H723" t="str">
        <f t="shared" si="107"/>
        <v/>
      </c>
      <c r="K723" t="str">
        <f t="shared" si="108"/>
        <v/>
      </c>
      <c r="N723" t="str">
        <f t="shared" si="109"/>
        <v/>
      </c>
      <c r="P723" t="str">
        <f t="shared" si="110"/>
        <v/>
      </c>
      <c r="Q723" s="4" t="str">
        <f t="shared" si="111"/>
        <v/>
      </c>
      <c r="R723" t="str">
        <f t="shared" si="112"/>
        <v/>
      </c>
      <c r="S723" t="str">
        <f t="shared" si="113"/>
        <v/>
      </c>
      <c r="T723" t="str">
        <f>IF(C723="","",InventoryTable[[#This Row],[Profit per Unit]]*InventoryTable[[#This Row],[Total Pieces]])</f>
        <v/>
      </c>
      <c r="U723" t="str">
        <f t="shared" si="114"/>
        <v/>
      </c>
      <c r="V723" t="str">
        <f>IF(C723="","",H723-InventoryTable[[#This Row],[Units Sold]])</f>
        <v/>
      </c>
      <c r="W723" t="str">
        <f t="shared" si="115"/>
        <v/>
      </c>
      <c r="X723" t="str">
        <f t="shared" si="116"/>
        <v/>
      </c>
      <c r="Y723" t="str">
        <f>IF(C723="","",IF(InventoryTable[[#This Row],[Stock Balance]]&lt;=0,"Sold Out",IF((InventoryTable[[#This Row],[Stock Balance]]/InventoryTable[[#This Row],[Total Pieces]])&lt;=0.25,"Low on Stocks","Available")))</f>
        <v/>
      </c>
    </row>
    <row r="724" spans="1:25" x14ac:dyDescent="0.3">
      <c r="A724" t="str">
        <f>IF(C724="","",_xlfn.CONCAT(LEFT(InventoryTable[[#This Row],[Category]],1),InventoryTable[[#This Row],[Product Pricing Type]],ROW()))</f>
        <v/>
      </c>
      <c r="H724" t="str">
        <f t="shared" si="107"/>
        <v/>
      </c>
      <c r="K724" t="str">
        <f t="shared" si="108"/>
        <v/>
      </c>
      <c r="N724" t="str">
        <f t="shared" si="109"/>
        <v/>
      </c>
      <c r="P724" t="str">
        <f t="shared" si="110"/>
        <v/>
      </c>
      <c r="Q724" s="4" t="str">
        <f t="shared" si="111"/>
        <v/>
      </c>
      <c r="R724" t="str">
        <f t="shared" si="112"/>
        <v/>
      </c>
      <c r="S724" t="str">
        <f t="shared" si="113"/>
        <v/>
      </c>
      <c r="T724" t="str">
        <f>IF(C724="","",InventoryTable[[#This Row],[Profit per Unit]]*InventoryTable[[#This Row],[Total Pieces]])</f>
        <v/>
      </c>
      <c r="U724" t="str">
        <f t="shared" si="114"/>
        <v/>
      </c>
      <c r="V724" t="str">
        <f>IF(C724="","",H724-InventoryTable[[#This Row],[Units Sold]])</f>
        <v/>
      </c>
      <c r="W724" t="str">
        <f t="shared" si="115"/>
        <v/>
      </c>
      <c r="X724" t="str">
        <f t="shared" si="116"/>
        <v/>
      </c>
      <c r="Y724" t="str">
        <f>IF(C724="","",IF(InventoryTable[[#This Row],[Stock Balance]]&lt;=0,"Sold Out",IF((InventoryTable[[#This Row],[Stock Balance]]/InventoryTable[[#This Row],[Total Pieces]])&lt;=0.25,"Low on Stocks","Available")))</f>
        <v/>
      </c>
    </row>
    <row r="725" spans="1:25" x14ac:dyDescent="0.3">
      <c r="A725" t="str">
        <f>IF(C725="","",_xlfn.CONCAT(LEFT(InventoryTable[[#This Row],[Category]],1),InventoryTable[[#This Row],[Product Pricing Type]],ROW()))</f>
        <v/>
      </c>
      <c r="H725" t="str">
        <f t="shared" si="107"/>
        <v/>
      </c>
      <c r="K725" t="str">
        <f t="shared" si="108"/>
        <v/>
      </c>
      <c r="N725" t="str">
        <f t="shared" si="109"/>
        <v/>
      </c>
      <c r="P725" t="str">
        <f t="shared" si="110"/>
        <v/>
      </c>
      <c r="Q725" s="4" t="str">
        <f t="shared" si="111"/>
        <v/>
      </c>
      <c r="R725" t="str">
        <f t="shared" si="112"/>
        <v/>
      </c>
      <c r="S725" t="str">
        <f t="shared" si="113"/>
        <v/>
      </c>
      <c r="T725" t="str">
        <f>IF(C725="","",InventoryTable[[#This Row],[Profit per Unit]]*InventoryTable[[#This Row],[Total Pieces]])</f>
        <v/>
      </c>
      <c r="U725" t="str">
        <f t="shared" si="114"/>
        <v/>
      </c>
      <c r="V725" t="str">
        <f>IF(C725="","",H725-InventoryTable[[#This Row],[Units Sold]])</f>
        <v/>
      </c>
      <c r="W725" t="str">
        <f t="shared" si="115"/>
        <v/>
      </c>
      <c r="X725" t="str">
        <f t="shared" si="116"/>
        <v/>
      </c>
      <c r="Y725" t="str">
        <f>IF(C725="","",IF(InventoryTable[[#This Row],[Stock Balance]]&lt;=0,"Sold Out",IF((InventoryTable[[#This Row],[Stock Balance]]/InventoryTable[[#This Row],[Total Pieces]])&lt;=0.25,"Low on Stocks","Available")))</f>
        <v/>
      </c>
    </row>
    <row r="726" spans="1:25" x14ac:dyDescent="0.3">
      <c r="A726" t="str">
        <f>IF(C726="","",_xlfn.CONCAT(LEFT(InventoryTable[[#This Row],[Category]],1),InventoryTable[[#This Row],[Product Pricing Type]],ROW()))</f>
        <v/>
      </c>
      <c r="H726" t="str">
        <f t="shared" si="107"/>
        <v/>
      </c>
      <c r="K726" t="str">
        <f t="shared" si="108"/>
        <v/>
      </c>
      <c r="N726" t="str">
        <f t="shared" si="109"/>
        <v/>
      </c>
      <c r="P726" t="str">
        <f t="shared" si="110"/>
        <v/>
      </c>
      <c r="Q726" s="4" t="str">
        <f t="shared" si="111"/>
        <v/>
      </c>
      <c r="R726" t="str">
        <f t="shared" si="112"/>
        <v/>
      </c>
      <c r="S726" t="str">
        <f t="shared" si="113"/>
        <v/>
      </c>
      <c r="T726" t="str">
        <f>IF(C726="","",InventoryTable[[#This Row],[Profit per Unit]]*InventoryTable[[#This Row],[Total Pieces]])</f>
        <v/>
      </c>
      <c r="U726" t="str">
        <f t="shared" si="114"/>
        <v/>
      </c>
      <c r="V726" t="str">
        <f>IF(C726="","",H726-InventoryTable[[#This Row],[Units Sold]])</f>
        <v/>
      </c>
      <c r="W726" t="str">
        <f t="shared" si="115"/>
        <v/>
      </c>
      <c r="X726" t="str">
        <f t="shared" si="116"/>
        <v/>
      </c>
      <c r="Y726" t="str">
        <f>IF(C726="","",IF(InventoryTable[[#This Row],[Stock Balance]]&lt;=0,"Sold Out",IF((InventoryTable[[#This Row],[Stock Balance]]/InventoryTable[[#This Row],[Total Pieces]])&lt;=0.25,"Low on Stocks","Available")))</f>
        <v/>
      </c>
    </row>
    <row r="727" spans="1:25" x14ac:dyDescent="0.3">
      <c r="A727" t="str">
        <f>IF(C727="","",_xlfn.CONCAT(LEFT(InventoryTable[[#This Row],[Category]],1),InventoryTable[[#This Row],[Product Pricing Type]],ROW()))</f>
        <v/>
      </c>
      <c r="H727" t="str">
        <f t="shared" si="107"/>
        <v/>
      </c>
      <c r="K727" t="str">
        <f t="shared" si="108"/>
        <v/>
      </c>
      <c r="N727" t="str">
        <f t="shared" si="109"/>
        <v/>
      </c>
      <c r="P727" t="str">
        <f t="shared" si="110"/>
        <v/>
      </c>
      <c r="Q727" s="4" t="str">
        <f t="shared" si="111"/>
        <v/>
      </c>
      <c r="R727" t="str">
        <f t="shared" si="112"/>
        <v/>
      </c>
      <c r="S727" t="str">
        <f t="shared" si="113"/>
        <v/>
      </c>
      <c r="T727" t="str">
        <f>IF(C727="","",InventoryTable[[#This Row],[Profit per Unit]]*InventoryTable[[#This Row],[Total Pieces]])</f>
        <v/>
      </c>
      <c r="U727" t="str">
        <f t="shared" si="114"/>
        <v/>
      </c>
      <c r="V727" t="str">
        <f>IF(C727="","",H727-InventoryTable[[#This Row],[Units Sold]])</f>
        <v/>
      </c>
      <c r="W727" t="str">
        <f t="shared" si="115"/>
        <v/>
      </c>
      <c r="X727" t="str">
        <f t="shared" si="116"/>
        <v/>
      </c>
      <c r="Y727" t="str">
        <f>IF(C727="","",IF(InventoryTable[[#This Row],[Stock Balance]]&lt;=0,"Sold Out",IF((InventoryTable[[#This Row],[Stock Balance]]/InventoryTable[[#This Row],[Total Pieces]])&lt;=0.25,"Low on Stocks","Available")))</f>
        <v/>
      </c>
    </row>
    <row r="728" spans="1:25" x14ac:dyDescent="0.3">
      <c r="A728" t="str">
        <f>IF(C728="","",_xlfn.CONCAT(LEFT(InventoryTable[[#This Row],[Category]],1),InventoryTable[[#This Row],[Product Pricing Type]],ROW()))</f>
        <v/>
      </c>
      <c r="H728" t="str">
        <f t="shared" si="107"/>
        <v/>
      </c>
      <c r="K728" t="str">
        <f t="shared" si="108"/>
        <v/>
      </c>
      <c r="N728" t="str">
        <f t="shared" si="109"/>
        <v/>
      </c>
      <c r="P728" t="str">
        <f t="shared" si="110"/>
        <v/>
      </c>
      <c r="Q728" s="4" t="str">
        <f t="shared" si="111"/>
        <v/>
      </c>
      <c r="R728" t="str">
        <f t="shared" si="112"/>
        <v/>
      </c>
      <c r="S728" t="str">
        <f t="shared" si="113"/>
        <v/>
      </c>
      <c r="T728" t="str">
        <f>IF(C728="","",InventoryTable[[#This Row],[Profit per Unit]]*InventoryTable[[#This Row],[Total Pieces]])</f>
        <v/>
      </c>
      <c r="U728" t="str">
        <f t="shared" si="114"/>
        <v/>
      </c>
      <c r="V728" t="str">
        <f>IF(C728="","",H728-InventoryTable[[#This Row],[Units Sold]])</f>
        <v/>
      </c>
      <c r="W728" t="str">
        <f t="shared" si="115"/>
        <v/>
      </c>
      <c r="X728" t="str">
        <f t="shared" si="116"/>
        <v/>
      </c>
      <c r="Y728" t="str">
        <f>IF(C728="","",IF(InventoryTable[[#This Row],[Stock Balance]]&lt;=0,"Sold Out",IF((InventoryTable[[#This Row],[Stock Balance]]/InventoryTable[[#This Row],[Total Pieces]])&lt;=0.25,"Low on Stocks","Available")))</f>
        <v/>
      </c>
    </row>
    <row r="729" spans="1:25" x14ac:dyDescent="0.3">
      <c r="A729" t="str">
        <f>IF(C729="","",_xlfn.CONCAT(LEFT(InventoryTable[[#This Row],[Category]],1),InventoryTable[[#This Row],[Product Pricing Type]],ROW()))</f>
        <v/>
      </c>
      <c r="H729" t="str">
        <f t="shared" si="107"/>
        <v/>
      </c>
      <c r="K729" t="str">
        <f t="shared" si="108"/>
        <v/>
      </c>
      <c r="N729" t="str">
        <f t="shared" si="109"/>
        <v/>
      </c>
      <c r="P729" t="str">
        <f t="shared" si="110"/>
        <v/>
      </c>
      <c r="Q729" s="4" t="str">
        <f t="shared" si="111"/>
        <v/>
      </c>
      <c r="R729" t="str">
        <f t="shared" si="112"/>
        <v/>
      </c>
      <c r="S729" t="str">
        <f t="shared" si="113"/>
        <v/>
      </c>
      <c r="T729" t="str">
        <f>IF(C729="","",InventoryTable[[#This Row],[Profit per Unit]]*InventoryTable[[#This Row],[Total Pieces]])</f>
        <v/>
      </c>
      <c r="U729" t="str">
        <f t="shared" si="114"/>
        <v/>
      </c>
      <c r="V729" t="str">
        <f>IF(C729="","",H729-InventoryTable[[#This Row],[Units Sold]])</f>
        <v/>
      </c>
      <c r="W729" t="str">
        <f t="shared" si="115"/>
        <v/>
      </c>
      <c r="X729" t="str">
        <f t="shared" si="116"/>
        <v/>
      </c>
      <c r="Y729" t="str">
        <f>IF(C729="","",IF(InventoryTable[[#This Row],[Stock Balance]]&lt;=0,"Sold Out",IF((InventoryTable[[#This Row],[Stock Balance]]/InventoryTable[[#This Row],[Total Pieces]])&lt;=0.25,"Low on Stocks","Available")))</f>
        <v/>
      </c>
    </row>
    <row r="730" spans="1:25" x14ac:dyDescent="0.3">
      <c r="A730" t="str">
        <f>IF(C730="","",_xlfn.CONCAT(LEFT(InventoryTable[[#This Row],[Category]],1),InventoryTable[[#This Row],[Product Pricing Type]],ROW()))</f>
        <v/>
      </c>
      <c r="H730" t="str">
        <f t="shared" si="107"/>
        <v/>
      </c>
      <c r="K730" t="str">
        <f t="shared" si="108"/>
        <v/>
      </c>
      <c r="N730" t="str">
        <f t="shared" si="109"/>
        <v/>
      </c>
      <c r="P730" t="str">
        <f t="shared" si="110"/>
        <v/>
      </c>
      <c r="Q730" s="4" t="str">
        <f t="shared" si="111"/>
        <v/>
      </c>
      <c r="R730" t="str">
        <f t="shared" si="112"/>
        <v/>
      </c>
      <c r="S730" t="str">
        <f t="shared" si="113"/>
        <v/>
      </c>
      <c r="T730" t="str">
        <f>IF(C730="","",InventoryTable[[#This Row],[Profit per Unit]]*InventoryTable[[#This Row],[Total Pieces]])</f>
        <v/>
      </c>
      <c r="U730" t="str">
        <f t="shared" si="114"/>
        <v/>
      </c>
      <c r="V730" t="str">
        <f>IF(C730="","",H730-InventoryTable[[#This Row],[Units Sold]])</f>
        <v/>
      </c>
      <c r="W730" t="str">
        <f t="shared" si="115"/>
        <v/>
      </c>
      <c r="X730" t="str">
        <f t="shared" si="116"/>
        <v/>
      </c>
      <c r="Y730" t="str">
        <f>IF(C730="","",IF(InventoryTable[[#This Row],[Stock Balance]]&lt;=0,"Sold Out",IF((InventoryTable[[#This Row],[Stock Balance]]/InventoryTable[[#This Row],[Total Pieces]])&lt;=0.25,"Low on Stocks","Available")))</f>
        <v/>
      </c>
    </row>
    <row r="731" spans="1:25" x14ac:dyDescent="0.3">
      <c r="A731" t="str">
        <f>IF(C731="","",_xlfn.CONCAT(LEFT(InventoryTable[[#This Row],[Category]],1),InventoryTable[[#This Row],[Product Pricing Type]],ROW()))</f>
        <v/>
      </c>
      <c r="H731" t="str">
        <f t="shared" si="107"/>
        <v/>
      </c>
      <c r="K731" t="str">
        <f t="shared" si="108"/>
        <v/>
      </c>
      <c r="N731" t="str">
        <f t="shared" si="109"/>
        <v/>
      </c>
      <c r="P731" t="str">
        <f t="shared" si="110"/>
        <v/>
      </c>
      <c r="Q731" s="4" t="str">
        <f t="shared" si="111"/>
        <v/>
      </c>
      <c r="R731" t="str">
        <f t="shared" si="112"/>
        <v/>
      </c>
      <c r="S731" t="str">
        <f t="shared" si="113"/>
        <v/>
      </c>
      <c r="T731" t="str">
        <f>IF(C731="","",InventoryTable[[#This Row],[Profit per Unit]]*InventoryTable[[#This Row],[Total Pieces]])</f>
        <v/>
      </c>
      <c r="U731" t="str">
        <f t="shared" si="114"/>
        <v/>
      </c>
      <c r="V731" t="str">
        <f>IF(C731="","",H731-InventoryTable[[#This Row],[Units Sold]])</f>
        <v/>
      </c>
      <c r="W731" t="str">
        <f t="shared" si="115"/>
        <v/>
      </c>
      <c r="X731" t="str">
        <f t="shared" si="116"/>
        <v/>
      </c>
      <c r="Y731" t="str">
        <f>IF(C731="","",IF(InventoryTable[[#This Row],[Stock Balance]]&lt;=0,"Sold Out",IF((InventoryTable[[#This Row],[Stock Balance]]/InventoryTable[[#This Row],[Total Pieces]])&lt;=0.25,"Low on Stocks","Available")))</f>
        <v/>
      </c>
    </row>
    <row r="732" spans="1:25" x14ac:dyDescent="0.3">
      <c r="A732" t="str">
        <f>IF(C732="","",_xlfn.CONCAT(LEFT(InventoryTable[[#This Row],[Category]],1),InventoryTable[[#This Row],[Product Pricing Type]],ROW()))</f>
        <v/>
      </c>
      <c r="H732" t="str">
        <f t="shared" si="107"/>
        <v/>
      </c>
      <c r="K732" t="str">
        <f t="shared" si="108"/>
        <v/>
      </c>
      <c r="N732" t="str">
        <f t="shared" si="109"/>
        <v/>
      </c>
      <c r="P732" t="str">
        <f t="shared" si="110"/>
        <v/>
      </c>
      <c r="Q732" s="4" t="str">
        <f t="shared" si="111"/>
        <v/>
      </c>
      <c r="R732" t="str">
        <f t="shared" si="112"/>
        <v/>
      </c>
      <c r="S732" t="str">
        <f t="shared" si="113"/>
        <v/>
      </c>
      <c r="T732" t="str">
        <f>IF(C732="","",InventoryTable[[#This Row],[Profit per Unit]]*InventoryTable[[#This Row],[Total Pieces]])</f>
        <v/>
      </c>
      <c r="U732" t="str">
        <f t="shared" si="114"/>
        <v/>
      </c>
      <c r="V732" t="str">
        <f>IF(C732="","",H732-InventoryTable[[#This Row],[Units Sold]])</f>
        <v/>
      </c>
      <c r="W732" t="str">
        <f t="shared" si="115"/>
        <v/>
      </c>
      <c r="X732" t="str">
        <f t="shared" si="116"/>
        <v/>
      </c>
      <c r="Y732" t="str">
        <f>IF(C732="","",IF(InventoryTable[[#This Row],[Stock Balance]]&lt;=0,"Sold Out",IF((InventoryTable[[#This Row],[Stock Balance]]/InventoryTable[[#This Row],[Total Pieces]])&lt;=0.25,"Low on Stocks","Available")))</f>
        <v/>
      </c>
    </row>
    <row r="733" spans="1:25" x14ac:dyDescent="0.3">
      <c r="A733" t="str">
        <f>IF(C733="","",_xlfn.CONCAT(LEFT(InventoryTable[[#This Row],[Category]],1),InventoryTable[[#This Row],[Product Pricing Type]],ROW()))</f>
        <v/>
      </c>
      <c r="H733" t="str">
        <f t="shared" si="107"/>
        <v/>
      </c>
      <c r="K733" t="str">
        <f t="shared" si="108"/>
        <v/>
      </c>
      <c r="N733" t="str">
        <f t="shared" si="109"/>
        <v/>
      </c>
      <c r="P733" t="str">
        <f t="shared" si="110"/>
        <v/>
      </c>
      <c r="Q733" s="4" t="str">
        <f t="shared" si="111"/>
        <v/>
      </c>
      <c r="R733" t="str">
        <f t="shared" si="112"/>
        <v/>
      </c>
      <c r="S733" t="str">
        <f t="shared" si="113"/>
        <v/>
      </c>
      <c r="T733" t="str">
        <f>IF(C733="","",InventoryTable[[#This Row],[Profit per Unit]]*InventoryTable[[#This Row],[Total Pieces]])</f>
        <v/>
      </c>
      <c r="U733" t="str">
        <f t="shared" si="114"/>
        <v/>
      </c>
      <c r="V733" t="str">
        <f>IF(C733="","",H733-InventoryTable[[#This Row],[Units Sold]])</f>
        <v/>
      </c>
      <c r="W733" t="str">
        <f t="shared" si="115"/>
        <v/>
      </c>
      <c r="X733" t="str">
        <f t="shared" si="116"/>
        <v/>
      </c>
      <c r="Y733" t="str">
        <f>IF(C733="","",IF(InventoryTable[[#This Row],[Stock Balance]]&lt;=0,"Sold Out",IF((InventoryTable[[#This Row],[Stock Balance]]/InventoryTable[[#This Row],[Total Pieces]])&lt;=0.25,"Low on Stocks","Available")))</f>
        <v/>
      </c>
    </row>
    <row r="734" spans="1:25" x14ac:dyDescent="0.3">
      <c r="A734" t="str">
        <f>IF(C734="","",_xlfn.CONCAT(LEFT(InventoryTable[[#This Row],[Category]],1),InventoryTable[[#This Row],[Product Pricing Type]],ROW()))</f>
        <v/>
      </c>
      <c r="H734" t="str">
        <f t="shared" si="107"/>
        <v/>
      </c>
      <c r="K734" t="str">
        <f t="shared" si="108"/>
        <v/>
      </c>
      <c r="N734" t="str">
        <f t="shared" si="109"/>
        <v/>
      </c>
      <c r="P734" t="str">
        <f t="shared" si="110"/>
        <v/>
      </c>
      <c r="Q734" s="4" t="str">
        <f t="shared" si="111"/>
        <v/>
      </c>
      <c r="R734" t="str">
        <f t="shared" si="112"/>
        <v/>
      </c>
      <c r="S734" t="str">
        <f t="shared" si="113"/>
        <v/>
      </c>
      <c r="T734" t="str">
        <f>IF(C734="","",InventoryTable[[#This Row],[Profit per Unit]]*InventoryTable[[#This Row],[Total Pieces]])</f>
        <v/>
      </c>
      <c r="U734" t="str">
        <f t="shared" si="114"/>
        <v/>
      </c>
      <c r="V734" t="str">
        <f>IF(C734="","",H734-InventoryTable[[#This Row],[Units Sold]])</f>
        <v/>
      </c>
      <c r="W734" t="str">
        <f t="shared" si="115"/>
        <v/>
      </c>
      <c r="X734" t="str">
        <f t="shared" si="116"/>
        <v/>
      </c>
      <c r="Y734" t="str">
        <f>IF(C734="","",IF(InventoryTable[[#This Row],[Stock Balance]]&lt;=0,"Sold Out",IF((InventoryTable[[#This Row],[Stock Balance]]/InventoryTable[[#This Row],[Total Pieces]])&lt;=0.25,"Low on Stocks","Available")))</f>
        <v/>
      </c>
    </row>
    <row r="735" spans="1:25" x14ac:dyDescent="0.3">
      <c r="A735" t="str">
        <f>IF(C735="","",_xlfn.CONCAT(LEFT(InventoryTable[[#This Row],[Category]],1),InventoryTable[[#This Row],[Product Pricing Type]],ROW()))</f>
        <v/>
      </c>
      <c r="H735" t="str">
        <f t="shared" si="107"/>
        <v/>
      </c>
      <c r="K735" t="str">
        <f t="shared" si="108"/>
        <v/>
      </c>
      <c r="N735" t="str">
        <f t="shared" si="109"/>
        <v/>
      </c>
      <c r="P735" t="str">
        <f t="shared" si="110"/>
        <v/>
      </c>
      <c r="Q735" s="4" t="str">
        <f t="shared" si="111"/>
        <v/>
      </c>
      <c r="R735" t="str">
        <f t="shared" si="112"/>
        <v/>
      </c>
      <c r="S735" t="str">
        <f t="shared" si="113"/>
        <v/>
      </c>
      <c r="T735" t="str">
        <f>IF(C735="","",InventoryTable[[#This Row],[Profit per Unit]]*InventoryTable[[#This Row],[Total Pieces]])</f>
        <v/>
      </c>
      <c r="U735" t="str">
        <f t="shared" si="114"/>
        <v/>
      </c>
      <c r="V735" t="str">
        <f>IF(C735="","",H735-InventoryTable[[#This Row],[Units Sold]])</f>
        <v/>
      </c>
      <c r="W735" t="str">
        <f t="shared" si="115"/>
        <v/>
      </c>
      <c r="X735" t="str">
        <f t="shared" si="116"/>
        <v/>
      </c>
      <c r="Y735" t="str">
        <f>IF(C735="","",IF(InventoryTable[[#This Row],[Stock Balance]]&lt;=0,"Sold Out",IF((InventoryTable[[#This Row],[Stock Balance]]/InventoryTable[[#This Row],[Total Pieces]])&lt;=0.25,"Low on Stocks","Available")))</f>
        <v/>
      </c>
    </row>
    <row r="736" spans="1:25" x14ac:dyDescent="0.3">
      <c r="A736" t="str">
        <f>IF(C736="","",_xlfn.CONCAT(LEFT(InventoryTable[[#This Row],[Category]],1),InventoryTable[[#This Row],[Product Pricing Type]],ROW()))</f>
        <v/>
      </c>
      <c r="H736" t="str">
        <f t="shared" si="107"/>
        <v/>
      </c>
      <c r="K736" t="str">
        <f t="shared" si="108"/>
        <v/>
      </c>
      <c r="N736" t="str">
        <f t="shared" si="109"/>
        <v/>
      </c>
      <c r="P736" t="str">
        <f t="shared" si="110"/>
        <v/>
      </c>
      <c r="Q736" s="4" t="str">
        <f t="shared" si="111"/>
        <v/>
      </c>
      <c r="R736" t="str">
        <f t="shared" si="112"/>
        <v/>
      </c>
      <c r="S736" t="str">
        <f t="shared" si="113"/>
        <v/>
      </c>
      <c r="T736" t="str">
        <f>IF(C736="","",InventoryTable[[#This Row],[Profit per Unit]]*InventoryTable[[#This Row],[Total Pieces]])</f>
        <v/>
      </c>
      <c r="U736" t="str">
        <f t="shared" si="114"/>
        <v/>
      </c>
      <c r="V736" t="str">
        <f>IF(C736="","",H736-InventoryTable[[#This Row],[Units Sold]])</f>
        <v/>
      </c>
      <c r="W736" t="str">
        <f t="shared" si="115"/>
        <v/>
      </c>
      <c r="X736" t="str">
        <f t="shared" si="116"/>
        <v/>
      </c>
      <c r="Y736" t="str">
        <f>IF(C736="","",IF(InventoryTable[[#This Row],[Stock Balance]]&lt;=0,"Sold Out",IF((InventoryTable[[#This Row],[Stock Balance]]/InventoryTable[[#This Row],[Total Pieces]])&lt;=0.25,"Low on Stocks","Available")))</f>
        <v/>
      </c>
    </row>
    <row r="737" spans="1:25" x14ac:dyDescent="0.3">
      <c r="A737" t="str">
        <f>IF(C737="","",_xlfn.CONCAT(LEFT(InventoryTable[[#This Row],[Category]],1),InventoryTable[[#This Row],[Product Pricing Type]],ROW()))</f>
        <v/>
      </c>
      <c r="H737" t="str">
        <f t="shared" ref="H737:H800" si="117">IF(C737="","",G737*F737)</f>
        <v/>
      </c>
      <c r="K737" t="str">
        <f t="shared" ref="K737:K800" si="118">IF(C737="","",IF(J737=1,I737/H737,I737*G737*F737))</f>
        <v/>
      </c>
      <c r="N737" t="str">
        <f t="shared" ref="N737:N800" si="119">IF(C737="","",IF(J737=1,K737+(K737*M737),I737+(I737*M737)))</f>
        <v/>
      </c>
      <c r="P737" t="str">
        <f t="shared" ref="P737:P800" si="120">IF(C737="","",N737+(N737*O737))</f>
        <v/>
      </c>
      <c r="Q737" s="4" t="str">
        <f t="shared" ref="Q737:Q800" si="121">IF(C737="","",ROUNDUP(P737,0))</f>
        <v/>
      </c>
      <c r="R737" t="str">
        <f t="shared" ref="R737:R800" si="122">IF(C737="","")</f>
        <v/>
      </c>
      <c r="S737" t="str">
        <f t="shared" ref="S737:S800" si="123">IF(C737="","",IF(COUNTIF(C737,"*Fixed*")&gt;0,(K737-R737)/H737,IF(J737=1,Q737-K737,Q737-I737)))</f>
        <v/>
      </c>
      <c r="T737" t="str">
        <f>IF(C737="","",InventoryTable[[#This Row],[Profit per Unit]]*InventoryTable[[#This Row],[Total Pieces]])</f>
        <v/>
      </c>
      <c r="U737" t="str">
        <f t="shared" si="114"/>
        <v/>
      </c>
      <c r="V737" t="str">
        <f>IF(C737="","",H737-InventoryTable[[#This Row],[Units Sold]])</f>
        <v/>
      </c>
      <c r="W737" t="str">
        <f t="shared" si="115"/>
        <v/>
      </c>
      <c r="X737" t="str">
        <f t="shared" si="116"/>
        <v/>
      </c>
      <c r="Y737" t="str">
        <f>IF(C737="","",IF(InventoryTable[[#This Row],[Stock Balance]]&lt;=0,"Sold Out",IF((InventoryTable[[#This Row],[Stock Balance]]/InventoryTable[[#This Row],[Total Pieces]])&lt;=0.25,"Low on Stocks","Available")))</f>
        <v/>
      </c>
    </row>
    <row r="738" spans="1:25" x14ac:dyDescent="0.3">
      <c r="A738" t="str">
        <f>IF(C738="","",_xlfn.CONCAT(LEFT(InventoryTable[[#This Row],[Category]],1),InventoryTable[[#This Row],[Product Pricing Type]],ROW()))</f>
        <v/>
      </c>
      <c r="H738" t="str">
        <f t="shared" si="117"/>
        <v/>
      </c>
      <c r="K738" t="str">
        <f t="shared" si="118"/>
        <v/>
      </c>
      <c r="N738" t="str">
        <f t="shared" si="119"/>
        <v/>
      </c>
      <c r="P738" t="str">
        <f t="shared" si="120"/>
        <v/>
      </c>
      <c r="Q738" s="4" t="str">
        <f t="shared" si="121"/>
        <v/>
      </c>
      <c r="R738" t="str">
        <f t="shared" si="122"/>
        <v/>
      </c>
      <c r="S738" t="str">
        <f t="shared" si="123"/>
        <v/>
      </c>
      <c r="T738" t="str">
        <f>IF(C738="","",InventoryTable[[#This Row],[Profit per Unit]]*InventoryTable[[#This Row],[Total Pieces]])</f>
        <v/>
      </c>
      <c r="U738" t="str">
        <f t="shared" si="114"/>
        <v/>
      </c>
      <c r="V738" t="str">
        <f>IF(C738="","",H738-InventoryTable[[#This Row],[Units Sold]])</f>
        <v/>
      </c>
      <c r="W738" t="str">
        <f t="shared" si="115"/>
        <v/>
      </c>
      <c r="X738" t="str">
        <f t="shared" si="116"/>
        <v/>
      </c>
      <c r="Y738" t="str">
        <f>IF(C738="","",IF(InventoryTable[[#This Row],[Stock Balance]]&lt;=0,"Sold Out",IF((InventoryTable[[#This Row],[Stock Balance]]/InventoryTable[[#This Row],[Total Pieces]])&lt;=0.25,"Low on Stocks","Available")))</f>
        <v/>
      </c>
    </row>
    <row r="739" spans="1:25" x14ac:dyDescent="0.3">
      <c r="A739" t="str">
        <f>IF(C739="","",_xlfn.CONCAT(LEFT(InventoryTable[[#This Row],[Category]],1),InventoryTable[[#This Row],[Product Pricing Type]],ROW()))</f>
        <v/>
      </c>
      <c r="H739" t="str">
        <f t="shared" si="117"/>
        <v/>
      </c>
      <c r="K739" t="str">
        <f t="shared" si="118"/>
        <v/>
      </c>
      <c r="N739" t="str">
        <f t="shared" si="119"/>
        <v/>
      </c>
      <c r="P739" t="str">
        <f t="shared" si="120"/>
        <v/>
      </c>
      <c r="Q739" s="4" t="str">
        <f t="shared" si="121"/>
        <v/>
      </c>
      <c r="R739" t="str">
        <f t="shared" si="122"/>
        <v/>
      </c>
      <c r="S739" t="str">
        <f t="shared" si="123"/>
        <v/>
      </c>
      <c r="T739" t="str">
        <f>IF(C739="","",InventoryTable[[#This Row],[Profit per Unit]]*InventoryTable[[#This Row],[Total Pieces]])</f>
        <v/>
      </c>
      <c r="U739" t="str">
        <f t="shared" si="114"/>
        <v/>
      </c>
      <c r="V739" t="str">
        <f>IF(C739="","",H739-InventoryTable[[#This Row],[Units Sold]])</f>
        <v/>
      </c>
      <c r="W739" t="str">
        <f t="shared" si="115"/>
        <v/>
      </c>
      <c r="X739" t="str">
        <f t="shared" si="116"/>
        <v/>
      </c>
      <c r="Y739" t="str">
        <f>IF(C739="","",IF(InventoryTable[[#This Row],[Stock Balance]]&lt;=0,"Sold Out",IF((InventoryTable[[#This Row],[Stock Balance]]/InventoryTable[[#This Row],[Total Pieces]])&lt;=0.25,"Low on Stocks","Available")))</f>
        <v/>
      </c>
    </row>
    <row r="740" spans="1:25" x14ac:dyDescent="0.3">
      <c r="A740" t="str">
        <f>IF(C740="","",_xlfn.CONCAT(LEFT(InventoryTable[[#This Row],[Category]],1),InventoryTable[[#This Row],[Product Pricing Type]],ROW()))</f>
        <v/>
      </c>
      <c r="H740" t="str">
        <f t="shared" si="117"/>
        <v/>
      </c>
      <c r="K740" t="str">
        <f t="shared" si="118"/>
        <v/>
      </c>
      <c r="N740" t="str">
        <f t="shared" si="119"/>
        <v/>
      </c>
      <c r="P740" t="str">
        <f t="shared" si="120"/>
        <v/>
      </c>
      <c r="Q740" s="4" t="str">
        <f t="shared" si="121"/>
        <v/>
      </c>
      <c r="R740" t="str">
        <f t="shared" si="122"/>
        <v/>
      </c>
      <c r="S740" t="str">
        <f t="shared" si="123"/>
        <v/>
      </c>
      <c r="T740" t="str">
        <f>IF(C740="","",InventoryTable[[#This Row],[Profit per Unit]]*InventoryTable[[#This Row],[Total Pieces]])</f>
        <v/>
      </c>
      <c r="U740" t="str">
        <f t="shared" si="114"/>
        <v/>
      </c>
      <c r="V740" t="str">
        <f>IF(C740="","",H740-InventoryTable[[#This Row],[Units Sold]])</f>
        <v/>
      </c>
      <c r="W740" t="str">
        <f t="shared" si="115"/>
        <v/>
      </c>
      <c r="X740" t="str">
        <f t="shared" si="116"/>
        <v/>
      </c>
      <c r="Y740" t="str">
        <f>IF(C740="","",IF(InventoryTable[[#This Row],[Stock Balance]]&lt;=0,"Sold Out",IF((InventoryTable[[#This Row],[Stock Balance]]/InventoryTable[[#This Row],[Total Pieces]])&lt;=0.25,"Low on Stocks","Available")))</f>
        <v/>
      </c>
    </row>
    <row r="741" spans="1:25" x14ac:dyDescent="0.3">
      <c r="A741" t="str">
        <f>IF(C741="","",_xlfn.CONCAT(LEFT(InventoryTable[[#This Row],[Category]],1),InventoryTable[[#This Row],[Product Pricing Type]],ROW()))</f>
        <v/>
      </c>
      <c r="H741" t="str">
        <f t="shared" si="117"/>
        <v/>
      </c>
      <c r="K741" t="str">
        <f t="shared" si="118"/>
        <v/>
      </c>
      <c r="N741" t="str">
        <f t="shared" si="119"/>
        <v/>
      </c>
      <c r="P741" t="str">
        <f t="shared" si="120"/>
        <v/>
      </c>
      <c r="Q741" s="4" t="str">
        <f t="shared" si="121"/>
        <v/>
      </c>
      <c r="R741" t="str">
        <f t="shared" si="122"/>
        <v/>
      </c>
      <c r="S741" t="str">
        <f t="shared" si="123"/>
        <v/>
      </c>
      <c r="T741" t="str">
        <f>IF(C741="","",InventoryTable[[#This Row],[Profit per Unit]]*InventoryTable[[#This Row],[Total Pieces]])</f>
        <v/>
      </c>
      <c r="U741" t="str">
        <f t="shared" si="114"/>
        <v/>
      </c>
      <c r="V741" t="str">
        <f>IF(C741="","",H741-InventoryTable[[#This Row],[Units Sold]])</f>
        <v/>
      </c>
      <c r="W741" t="str">
        <f t="shared" si="115"/>
        <v/>
      </c>
      <c r="X741" t="str">
        <f t="shared" si="116"/>
        <v/>
      </c>
      <c r="Y741" t="str">
        <f>IF(C741="","",IF(InventoryTable[[#This Row],[Stock Balance]]&lt;=0,"Sold Out",IF((InventoryTable[[#This Row],[Stock Balance]]/InventoryTable[[#This Row],[Total Pieces]])&lt;=0.25,"Low on Stocks","Available")))</f>
        <v/>
      </c>
    </row>
    <row r="742" spans="1:25" x14ac:dyDescent="0.3">
      <c r="A742" t="str">
        <f>IF(C742="","",_xlfn.CONCAT(LEFT(InventoryTable[[#This Row],[Category]],1),InventoryTable[[#This Row],[Product Pricing Type]],ROW()))</f>
        <v/>
      </c>
      <c r="H742" t="str">
        <f t="shared" si="117"/>
        <v/>
      </c>
      <c r="K742" t="str">
        <f t="shared" si="118"/>
        <v/>
      </c>
      <c r="N742" t="str">
        <f t="shared" si="119"/>
        <v/>
      </c>
      <c r="P742" t="str">
        <f t="shared" si="120"/>
        <v/>
      </c>
      <c r="Q742" s="4" t="str">
        <f t="shared" si="121"/>
        <v/>
      </c>
      <c r="R742" t="str">
        <f t="shared" si="122"/>
        <v/>
      </c>
      <c r="S742" t="str">
        <f t="shared" si="123"/>
        <v/>
      </c>
      <c r="T742" t="str">
        <f>IF(C742="","",InventoryTable[[#This Row],[Profit per Unit]]*InventoryTable[[#This Row],[Total Pieces]])</f>
        <v/>
      </c>
      <c r="U742" t="str">
        <f t="shared" si="114"/>
        <v/>
      </c>
      <c r="V742" t="str">
        <f>IF(C742="","",H742-InventoryTable[[#This Row],[Units Sold]])</f>
        <v/>
      </c>
      <c r="W742" t="str">
        <f t="shared" si="115"/>
        <v/>
      </c>
      <c r="X742" t="str">
        <f t="shared" si="116"/>
        <v/>
      </c>
      <c r="Y742" t="str">
        <f>IF(C742="","",IF(InventoryTable[[#This Row],[Stock Balance]]&lt;=0,"Sold Out",IF((InventoryTable[[#This Row],[Stock Balance]]/InventoryTable[[#This Row],[Total Pieces]])&lt;=0.25,"Low on Stocks","Available")))</f>
        <v/>
      </c>
    </row>
    <row r="743" spans="1:25" x14ac:dyDescent="0.3">
      <c r="A743" t="str">
        <f>IF(C743="","",_xlfn.CONCAT(LEFT(InventoryTable[[#This Row],[Category]],1),InventoryTable[[#This Row],[Product Pricing Type]],ROW()))</f>
        <v/>
      </c>
      <c r="H743" t="str">
        <f t="shared" si="117"/>
        <v/>
      </c>
      <c r="K743" t="str">
        <f t="shared" si="118"/>
        <v/>
      </c>
      <c r="N743" t="str">
        <f t="shared" si="119"/>
        <v/>
      </c>
      <c r="P743" t="str">
        <f t="shared" si="120"/>
        <v/>
      </c>
      <c r="Q743" s="4" t="str">
        <f t="shared" si="121"/>
        <v/>
      </c>
      <c r="R743" t="str">
        <f t="shared" si="122"/>
        <v/>
      </c>
      <c r="S743" t="str">
        <f t="shared" si="123"/>
        <v/>
      </c>
      <c r="T743" t="str">
        <f>IF(C743="","",InventoryTable[[#This Row],[Profit per Unit]]*InventoryTable[[#This Row],[Total Pieces]])</f>
        <v/>
      </c>
      <c r="U743" t="str">
        <f t="shared" si="114"/>
        <v/>
      </c>
      <c r="V743" t="str">
        <f>IF(C743="","",H743-InventoryTable[[#This Row],[Units Sold]])</f>
        <v/>
      </c>
      <c r="W743" t="str">
        <f t="shared" si="115"/>
        <v/>
      </c>
      <c r="X743" t="str">
        <f t="shared" si="116"/>
        <v/>
      </c>
      <c r="Y743" t="str">
        <f>IF(C743="","",IF(InventoryTable[[#This Row],[Stock Balance]]&lt;=0,"Sold Out",IF((InventoryTable[[#This Row],[Stock Balance]]/InventoryTable[[#This Row],[Total Pieces]])&lt;=0.25,"Low on Stocks","Available")))</f>
        <v/>
      </c>
    </row>
    <row r="744" spans="1:25" x14ac:dyDescent="0.3">
      <c r="A744" t="str">
        <f>IF(C744="","",_xlfn.CONCAT(LEFT(InventoryTable[[#This Row],[Category]],1),InventoryTable[[#This Row],[Product Pricing Type]],ROW()))</f>
        <v/>
      </c>
      <c r="H744" t="str">
        <f t="shared" si="117"/>
        <v/>
      </c>
      <c r="K744" t="str">
        <f t="shared" si="118"/>
        <v/>
      </c>
      <c r="N744" t="str">
        <f t="shared" si="119"/>
        <v/>
      </c>
      <c r="P744" t="str">
        <f t="shared" si="120"/>
        <v/>
      </c>
      <c r="Q744" s="4" t="str">
        <f t="shared" si="121"/>
        <v/>
      </c>
      <c r="R744" t="str">
        <f t="shared" si="122"/>
        <v/>
      </c>
      <c r="S744" t="str">
        <f t="shared" si="123"/>
        <v/>
      </c>
      <c r="T744" t="str">
        <f>IF(C744="","",InventoryTable[[#This Row],[Profit per Unit]]*InventoryTable[[#This Row],[Total Pieces]])</f>
        <v/>
      </c>
      <c r="U744" t="str">
        <f t="shared" si="114"/>
        <v/>
      </c>
      <c r="V744" t="str">
        <f>IF(C744="","",H744-InventoryTable[[#This Row],[Units Sold]])</f>
        <v/>
      </c>
      <c r="W744" t="str">
        <f t="shared" si="115"/>
        <v/>
      </c>
      <c r="X744" t="str">
        <f t="shared" si="116"/>
        <v/>
      </c>
      <c r="Y744" t="str">
        <f>IF(C744="","",IF(InventoryTable[[#This Row],[Stock Balance]]&lt;=0,"Sold Out",IF((InventoryTable[[#This Row],[Stock Balance]]/InventoryTable[[#This Row],[Total Pieces]])&lt;=0.25,"Low on Stocks","Available")))</f>
        <v/>
      </c>
    </row>
    <row r="745" spans="1:25" x14ac:dyDescent="0.3">
      <c r="A745" t="str">
        <f>IF(C745="","",_xlfn.CONCAT(LEFT(InventoryTable[[#This Row],[Category]],1),InventoryTable[[#This Row],[Product Pricing Type]],ROW()))</f>
        <v/>
      </c>
      <c r="H745" t="str">
        <f t="shared" si="117"/>
        <v/>
      </c>
      <c r="K745" t="str">
        <f t="shared" si="118"/>
        <v/>
      </c>
      <c r="N745" t="str">
        <f t="shared" si="119"/>
        <v/>
      </c>
      <c r="P745" t="str">
        <f t="shared" si="120"/>
        <v/>
      </c>
      <c r="Q745" s="4" t="str">
        <f t="shared" si="121"/>
        <v/>
      </c>
      <c r="R745" t="str">
        <f t="shared" si="122"/>
        <v/>
      </c>
      <c r="S745" t="str">
        <f t="shared" si="123"/>
        <v/>
      </c>
      <c r="T745" t="str">
        <f>IF(C745="","",InventoryTable[[#This Row],[Profit per Unit]]*InventoryTable[[#This Row],[Total Pieces]])</f>
        <v/>
      </c>
      <c r="U745" t="str">
        <f t="shared" si="114"/>
        <v/>
      </c>
      <c r="V745" t="str">
        <f>IF(C745="","",H745-InventoryTable[[#This Row],[Units Sold]])</f>
        <v/>
      </c>
      <c r="W745" t="str">
        <f t="shared" si="115"/>
        <v/>
      </c>
      <c r="X745" t="str">
        <f t="shared" si="116"/>
        <v/>
      </c>
      <c r="Y745" t="str">
        <f>IF(C745="","",IF(InventoryTable[[#This Row],[Stock Balance]]&lt;=0,"Sold Out",IF((InventoryTable[[#This Row],[Stock Balance]]/InventoryTable[[#This Row],[Total Pieces]])&lt;=0.25,"Low on Stocks","Available")))</f>
        <v/>
      </c>
    </row>
    <row r="746" spans="1:25" x14ac:dyDescent="0.3">
      <c r="A746" t="str">
        <f>IF(C746="","",_xlfn.CONCAT(LEFT(InventoryTable[[#This Row],[Category]],1),InventoryTable[[#This Row],[Product Pricing Type]],ROW()))</f>
        <v/>
      </c>
      <c r="H746" t="str">
        <f t="shared" si="117"/>
        <v/>
      </c>
      <c r="K746" t="str">
        <f t="shared" si="118"/>
        <v/>
      </c>
      <c r="N746" t="str">
        <f t="shared" si="119"/>
        <v/>
      </c>
      <c r="P746" t="str">
        <f t="shared" si="120"/>
        <v/>
      </c>
      <c r="Q746" s="4" t="str">
        <f t="shared" si="121"/>
        <v/>
      </c>
      <c r="R746" t="str">
        <f t="shared" si="122"/>
        <v/>
      </c>
      <c r="S746" t="str">
        <f t="shared" si="123"/>
        <v/>
      </c>
      <c r="T746" t="str">
        <f>IF(C746="","",InventoryTable[[#This Row],[Profit per Unit]]*InventoryTable[[#This Row],[Total Pieces]])</f>
        <v/>
      </c>
      <c r="U746" t="str">
        <f t="shared" si="114"/>
        <v/>
      </c>
      <c r="V746" t="str">
        <f>IF(C746="","",H746-InventoryTable[[#This Row],[Units Sold]])</f>
        <v/>
      </c>
      <c r="W746" t="str">
        <f t="shared" si="115"/>
        <v/>
      </c>
      <c r="X746" t="str">
        <f t="shared" si="116"/>
        <v/>
      </c>
      <c r="Y746" t="str">
        <f>IF(C746="","",IF(InventoryTable[[#This Row],[Stock Balance]]&lt;=0,"Sold Out",IF((InventoryTable[[#This Row],[Stock Balance]]/InventoryTable[[#This Row],[Total Pieces]])&lt;=0.25,"Low on Stocks","Available")))</f>
        <v/>
      </c>
    </row>
    <row r="747" spans="1:25" x14ac:dyDescent="0.3">
      <c r="A747" t="str">
        <f>IF(C747="","",_xlfn.CONCAT(LEFT(InventoryTable[[#This Row],[Category]],1),InventoryTable[[#This Row],[Product Pricing Type]],ROW()))</f>
        <v/>
      </c>
      <c r="H747" t="str">
        <f t="shared" si="117"/>
        <v/>
      </c>
      <c r="K747" t="str">
        <f t="shared" si="118"/>
        <v/>
      </c>
      <c r="N747" t="str">
        <f t="shared" si="119"/>
        <v/>
      </c>
      <c r="P747" t="str">
        <f t="shared" si="120"/>
        <v/>
      </c>
      <c r="Q747" s="4" t="str">
        <f t="shared" si="121"/>
        <v/>
      </c>
      <c r="R747" t="str">
        <f t="shared" si="122"/>
        <v/>
      </c>
      <c r="S747" t="str">
        <f t="shared" si="123"/>
        <v/>
      </c>
      <c r="T747" t="str">
        <f>IF(C747="","",InventoryTable[[#This Row],[Profit per Unit]]*InventoryTable[[#This Row],[Total Pieces]])</f>
        <v/>
      </c>
      <c r="U747" t="str">
        <f t="shared" si="114"/>
        <v/>
      </c>
      <c r="V747" t="str">
        <f>IF(C747="","",H747-InventoryTable[[#This Row],[Units Sold]])</f>
        <v/>
      </c>
      <c r="W747" t="str">
        <f t="shared" si="115"/>
        <v/>
      </c>
      <c r="X747" t="str">
        <f t="shared" si="116"/>
        <v/>
      </c>
      <c r="Y747" t="str">
        <f>IF(C747="","",IF(InventoryTable[[#This Row],[Stock Balance]]&lt;=0,"Sold Out",IF((InventoryTable[[#This Row],[Stock Balance]]/InventoryTable[[#This Row],[Total Pieces]])&lt;=0.25,"Low on Stocks","Available")))</f>
        <v/>
      </c>
    </row>
    <row r="748" spans="1:25" x14ac:dyDescent="0.3">
      <c r="A748" t="str">
        <f>IF(C748="","",_xlfn.CONCAT(LEFT(InventoryTable[[#This Row],[Category]],1),InventoryTable[[#This Row],[Product Pricing Type]],ROW()))</f>
        <v/>
      </c>
      <c r="H748" t="str">
        <f t="shared" si="117"/>
        <v/>
      </c>
      <c r="K748" t="str">
        <f t="shared" si="118"/>
        <v/>
      </c>
      <c r="N748" t="str">
        <f t="shared" si="119"/>
        <v/>
      </c>
      <c r="P748" t="str">
        <f t="shared" si="120"/>
        <v/>
      </c>
      <c r="Q748" s="4" t="str">
        <f t="shared" si="121"/>
        <v/>
      </c>
      <c r="R748" t="str">
        <f t="shared" si="122"/>
        <v/>
      </c>
      <c r="S748" t="str">
        <f t="shared" si="123"/>
        <v/>
      </c>
      <c r="T748" t="str">
        <f>IF(C748="","",InventoryTable[[#This Row],[Profit per Unit]]*InventoryTable[[#This Row],[Total Pieces]])</f>
        <v/>
      </c>
      <c r="U748" t="str">
        <f t="shared" si="114"/>
        <v/>
      </c>
      <c r="V748" t="str">
        <f>IF(C748="","",H748-InventoryTable[[#This Row],[Units Sold]])</f>
        <v/>
      </c>
      <c r="W748" t="str">
        <f t="shared" si="115"/>
        <v/>
      </c>
      <c r="X748" t="str">
        <f t="shared" si="116"/>
        <v/>
      </c>
      <c r="Y748" t="str">
        <f>IF(C748="","",IF(InventoryTable[[#This Row],[Stock Balance]]&lt;=0,"Sold Out",IF((InventoryTable[[#This Row],[Stock Balance]]/InventoryTable[[#This Row],[Total Pieces]])&lt;=0.25,"Low on Stocks","Available")))</f>
        <v/>
      </c>
    </row>
    <row r="749" spans="1:25" x14ac:dyDescent="0.3">
      <c r="A749" t="str">
        <f>IF(C749="","",_xlfn.CONCAT(LEFT(InventoryTable[[#This Row],[Category]],1),InventoryTable[[#This Row],[Product Pricing Type]],ROW()))</f>
        <v/>
      </c>
      <c r="H749" t="str">
        <f t="shared" si="117"/>
        <v/>
      </c>
      <c r="K749" t="str">
        <f t="shared" si="118"/>
        <v/>
      </c>
      <c r="N749" t="str">
        <f t="shared" si="119"/>
        <v/>
      </c>
      <c r="P749" t="str">
        <f t="shared" si="120"/>
        <v/>
      </c>
      <c r="Q749" s="4" t="str">
        <f t="shared" si="121"/>
        <v/>
      </c>
      <c r="R749" t="str">
        <f t="shared" si="122"/>
        <v/>
      </c>
      <c r="S749" t="str">
        <f t="shared" si="123"/>
        <v/>
      </c>
      <c r="T749" t="str">
        <f>IF(C749="","",InventoryTable[[#This Row],[Profit per Unit]]*InventoryTable[[#This Row],[Total Pieces]])</f>
        <v/>
      </c>
      <c r="U749" t="str">
        <f t="shared" si="114"/>
        <v/>
      </c>
      <c r="V749" t="str">
        <f>IF(C749="","",H749-InventoryTable[[#This Row],[Units Sold]])</f>
        <v/>
      </c>
      <c r="W749" t="str">
        <f t="shared" si="115"/>
        <v/>
      </c>
      <c r="X749" t="str">
        <f t="shared" si="116"/>
        <v/>
      </c>
      <c r="Y749" t="str">
        <f>IF(C749="","",IF(InventoryTable[[#This Row],[Stock Balance]]&lt;=0,"Sold Out",IF((InventoryTable[[#This Row],[Stock Balance]]/InventoryTable[[#This Row],[Total Pieces]])&lt;=0.25,"Low on Stocks","Available")))</f>
        <v/>
      </c>
    </row>
    <row r="750" spans="1:25" x14ac:dyDescent="0.3">
      <c r="A750" t="str">
        <f>IF(C750="","",_xlfn.CONCAT(LEFT(InventoryTable[[#This Row],[Category]],1),InventoryTable[[#This Row],[Product Pricing Type]],ROW()))</f>
        <v/>
      </c>
      <c r="H750" t="str">
        <f t="shared" si="117"/>
        <v/>
      </c>
      <c r="K750" t="str">
        <f t="shared" si="118"/>
        <v/>
      </c>
      <c r="N750" t="str">
        <f t="shared" si="119"/>
        <v/>
      </c>
      <c r="P750" t="str">
        <f t="shared" si="120"/>
        <v/>
      </c>
      <c r="Q750" s="4" t="str">
        <f t="shared" si="121"/>
        <v/>
      </c>
      <c r="R750" t="str">
        <f t="shared" si="122"/>
        <v/>
      </c>
      <c r="S750" t="str">
        <f t="shared" si="123"/>
        <v/>
      </c>
      <c r="T750" t="str">
        <f>IF(C750="","",InventoryTable[[#This Row],[Profit per Unit]]*InventoryTable[[#This Row],[Total Pieces]])</f>
        <v/>
      </c>
      <c r="U750" t="str">
        <f t="shared" si="114"/>
        <v/>
      </c>
      <c r="V750" t="str">
        <f>IF(C750="","",H750-InventoryTable[[#This Row],[Units Sold]])</f>
        <v/>
      </c>
      <c r="W750" t="str">
        <f t="shared" si="115"/>
        <v/>
      </c>
      <c r="X750" t="str">
        <f t="shared" si="116"/>
        <v/>
      </c>
      <c r="Y750" t="str">
        <f>IF(C750="","",IF(InventoryTable[[#This Row],[Stock Balance]]&lt;=0,"Sold Out",IF((InventoryTable[[#This Row],[Stock Balance]]/InventoryTable[[#This Row],[Total Pieces]])&lt;=0.25,"Low on Stocks","Available")))</f>
        <v/>
      </c>
    </row>
    <row r="751" spans="1:25" x14ac:dyDescent="0.3">
      <c r="A751" t="str">
        <f>IF(C751="","",_xlfn.CONCAT(LEFT(InventoryTable[[#This Row],[Category]],1),InventoryTable[[#This Row],[Product Pricing Type]],ROW()))</f>
        <v/>
      </c>
      <c r="H751" t="str">
        <f t="shared" si="117"/>
        <v/>
      </c>
      <c r="K751" t="str">
        <f t="shared" si="118"/>
        <v/>
      </c>
      <c r="N751" t="str">
        <f t="shared" si="119"/>
        <v/>
      </c>
      <c r="P751" t="str">
        <f t="shared" si="120"/>
        <v/>
      </c>
      <c r="Q751" s="4" t="str">
        <f t="shared" si="121"/>
        <v/>
      </c>
      <c r="R751" t="str">
        <f t="shared" si="122"/>
        <v/>
      </c>
      <c r="S751" t="str">
        <f t="shared" si="123"/>
        <v/>
      </c>
      <c r="T751" t="str">
        <f>IF(C751="","",InventoryTable[[#This Row],[Profit per Unit]]*InventoryTable[[#This Row],[Total Pieces]])</f>
        <v/>
      </c>
      <c r="U751" t="str">
        <f t="shared" si="114"/>
        <v/>
      </c>
      <c r="V751" t="str">
        <f>IF(C751="","",H751-InventoryTable[[#This Row],[Units Sold]])</f>
        <v/>
      </c>
      <c r="W751" t="str">
        <f t="shared" si="115"/>
        <v/>
      </c>
      <c r="X751" t="str">
        <f t="shared" si="116"/>
        <v/>
      </c>
      <c r="Y751" t="str">
        <f>IF(C751="","",IF(InventoryTable[[#This Row],[Stock Balance]]&lt;=0,"Sold Out",IF((InventoryTable[[#This Row],[Stock Balance]]/InventoryTable[[#This Row],[Total Pieces]])&lt;=0.25,"Low on Stocks","Available")))</f>
        <v/>
      </c>
    </row>
    <row r="752" spans="1:25" x14ac:dyDescent="0.3">
      <c r="A752" t="str">
        <f>IF(C752="","",_xlfn.CONCAT(LEFT(InventoryTable[[#This Row],[Category]],1),InventoryTable[[#This Row],[Product Pricing Type]],ROW()))</f>
        <v/>
      </c>
      <c r="H752" t="str">
        <f t="shared" si="117"/>
        <v/>
      </c>
      <c r="K752" t="str">
        <f t="shared" si="118"/>
        <v/>
      </c>
      <c r="N752" t="str">
        <f t="shared" si="119"/>
        <v/>
      </c>
      <c r="P752" t="str">
        <f t="shared" si="120"/>
        <v/>
      </c>
      <c r="Q752" s="4" t="str">
        <f t="shared" si="121"/>
        <v/>
      </c>
      <c r="R752" t="str">
        <f t="shared" si="122"/>
        <v/>
      </c>
      <c r="S752" t="str">
        <f t="shared" si="123"/>
        <v/>
      </c>
      <c r="T752" t="str">
        <f>IF(C752="","",InventoryTable[[#This Row],[Profit per Unit]]*InventoryTable[[#This Row],[Total Pieces]])</f>
        <v/>
      </c>
      <c r="U752" t="str">
        <f t="shared" si="114"/>
        <v/>
      </c>
      <c r="V752" t="str">
        <f>IF(C752="","",H752-InventoryTable[[#This Row],[Units Sold]])</f>
        <v/>
      </c>
      <c r="W752" t="str">
        <f t="shared" si="115"/>
        <v/>
      </c>
      <c r="X752" t="str">
        <f t="shared" si="116"/>
        <v/>
      </c>
      <c r="Y752" t="str">
        <f>IF(C752="","",IF(InventoryTable[[#This Row],[Stock Balance]]&lt;=0,"Sold Out",IF((InventoryTable[[#This Row],[Stock Balance]]/InventoryTable[[#This Row],[Total Pieces]])&lt;=0.25,"Low on Stocks","Available")))</f>
        <v/>
      </c>
    </row>
    <row r="753" spans="1:25" x14ac:dyDescent="0.3">
      <c r="A753" t="str">
        <f>IF(C753="","",_xlfn.CONCAT(LEFT(InventoryTable[[#This Row],[Category]],1),InventoryTable[[#This Row],[Product Pricing Type]],ROW()))</f>
        <v/>
      </c>
      <c r="H753" t="str">
        <f t="shared" si="117"/>
        <v/>
      </c>
      <c r="K753" t="str">
        <f t="shared" si="118"/>
        <v/>
      </c>
      <c r="N753" t="str">
        <f t="shared" si="119"/>
        <v/>
      </c>
      <c r="P753" t="str">
        <f t="shared" si="120"/>
        <v/>
      </c>
      <c r="Q753" s="4" t="str">
        <f t="shared" si="121"/>
        <v/>
      </c>
      <c r="R753" t="str">
        <f t="shared" si="122"/>
        <v/>
      </c>
      <c r="S753" t="str">
        <f t="shared" si="123"/>
        <v/>
      </c>
      <c r="T753" t="str">
        <f>IF(C753="","",InventoryTable[[#This Row],[Profit per Unit]]*InventoryTable[[#This Row],[Total Pieces]])</f>
        <v/>
      </c>
      <c r="U753" t="str">
        <f t="shared" si="114"/>
        <v/>
      </c>
      <c r="V753" t="str">
        <f>IF(C753="","",H753-InventoryTable[[#This Row],[Units Sold]])</f>
        <v/>
      </c>
      <c r="W753" t="str">
        <f t="shared" si="115"/>
        <v/>
      </c>
      <c r="X753" t="str">
        <f t="shared" si="116"/>
        <v/>
      </c>
      <c r="Y753" t="str">
        <f>IF(C753="","",IF(InventoryTable[[#This Row],[Stock Balance]]&lt;=0,"Sold Out",IF((InventoryTable[[#This Row],[Stock Balance]]/InventoryTable[[#This Row],[Total Pieces]])&lt;=0.25,"Low on Stocks","Available")))</f>
        <v/>
      </c>
    </row>
    <row r="754" spans="1:25" x14ac:dyDescent="0.3">
      <c r="A754" t="str">
        <f>IF(C754="","",_xlfn.CONCAT(LEFT(InventoryTable[[#This Row],[Category]],1),InventoryTable[[#This Row],[Product Pricing Type]],ROW()))</f>
        <v/>
      </c>
      <c r="H754" t="str">
        <f t="shared" si="117"/>
        <v/>
      </c>
      <c r="K754" t="str">
        <f t="shared" si="118"/>
        <v/>
      </c>
      <c r="N754" t="str">
        <f t="shared" si="119"/>
        <v/>
      </c>
      <c r="P754" t="str">
        <f t="shared" si="120"/>
        <v/>
      </c>
      <c r="Q754" s="4" t="str">
        <f t="shared" si="121"/>
        <v/>
      </c>
      <c r="R754" t="str">
        <f t="shared" si="122"/>
        <v/>
      </c>
      <c r="S754" t="str">
        <f t="shared" si="123"/>
        <v/>
      </c>
      <c r="T754" t="str">
        <f>IF(C754="","",InventoryTable[[#This Row],[Profit per Unit]]*InventoryTable[[#This Row],[Total Pieces]])</f>
        <v/>
      </c>
      <c r="U754" t="str">
        <f t="shared" si="114"/>
        <v/>
      </c>
      <c r="V754" t="str">
        <f>IF(C754="","",H754-InventoryTable[[#This Row],[Units Sold]])</f>
        <v/>
      </c>
      <c r="W754" t="str">
        <f t="shared" si="115"/>
        <v/>
      </c>
      <c r="X754" t="str">
        <f t="shared" si="116"/>
        <v/>
      </c>
      <c r="Y754" t="str">
        <f>IF(C754="","",IF(InventoryTable[[#This Row],[Stock Balance]]&lt;=0,"Sold Out",IF((InventoryTable[[#This Row],[Stock Balance]]/InventoryTable[[#This Row],[Total Pieces]])&lt;=0.25,"Low on Stocks","Available")))</f>
        <v/>
      </c>
    </row>
    <row r="755" spans="1:25" x14ac:dyDescent="0.3">
      <c r="A755" t="str">
        <f>IF(C755="","",_xlfn.CONCAT(LEFT(InventoryTable[[#This Row],[Category]],1),InventoryTable[[#This Row],[Product Pricing Type]],ROW()))</f>
        <v/>
      </c>
      <c r="H755" t="str">
        <f t="shared" si="117"/>
        <v/>
      </c>
      <c r="K755" t="str">
        <f t="shared" si="118"/>
        <v/>
      </c>
      <c r="N755" t="str">
        <f t="shared" si="119"/>
        <v/>
      </c>
      <c r="P755" t="str">
        <f t="shared" si="120"/>
        <v/>
      </c>
      <c r="Q755" s="4" t="str">
        <f t="shared" si="121"/>
        <v/>
      </c>
      <c r="R755" t="str">
        <f t="shared" si="122"/>
        <v/>
      </c>
      <c r="S755" t="str">
        <f t="shared" si="123"/>
        <v/>
      </c>
      <c r="T755" t="str">
        <f>IF(C755="","",InventoryTable[[#This Row],[Profit per Unit]]*InventoryTable[[#This Row],[Total Pieces]])</f>
        <v/>
      </c>
      <c r="U755" t="str">
        <f t="shared" si="114"/>
        <v/>
      </c>
      <c r="V755" t="str">
        <f>IF(C755="","",H755-InventoryTable[[#This Row],[Units Sold]])</f>
        <v/>
      </c>
      <c r="W755" t="str">
        <f t="shared" si="115"/>
        <v/>
      </c>
      <c r="X755" t="str">
        <f t="shared" si="116"/>
        <v/>
      </c>
      <c r="Y755" t="str">
        <f>IF(C755="","",IF(InventoryTable[[#This Row],[Stock Balance]]&lt;=0,"Sold Out",IF((InventoryTable[[#This Row],[Stock Balance]]/InventoryTable[[#This Row],[Total Pieces]])&lt;=0.25,"Low on Stocks","Available")))</f>
        <v/>
      </c>
    </row>
    <row r="756" spans="1:25" x14ac:dyDescent="0.3">
      <c r="A756" t="str">
        <f>IF(C756="","",_xlfn.CONCAT(LEFT(InventoryTable[[#This Row],[Category]],1),InventoryTable[[#This Row],[Product Pricing Type]],ROW()))</f>
        <v/>
      </c>
      <c r="H756" t="str">
        <f t="shared" si="117"/>
        <v/>
      </c>
      <c r="K756" t="str">
        <f t="shared" si="118"/>
        <v/>
      </c>
      <c r="N756" t="str">
        <f t="shared" si="119"/>
        <v/>
      </c>
      <c r="P756" t="str">
        <f t="shared" si="120"/>
        <v/>
      </c>
      <c r="Q756" s="4" t="str">
        <f t="shared" si="121"/>
        <v/>
      </c>
      <c r="R756" t="str">
        <f t="shared" si="122"/>
        <v/>
      </c>
      <c r="S756" t="str">
        <f t="shared" si="123"/>
        <v/>
      </c>
      <c r="T756" t="str">
        <f>IF(C756="","",InventoryTable[[#This Row],[Profit per Unit]]*InventoryTable[[#This Row],[Total Pieces]])</f>
        <v/>
      </c>
      <c r="U756" t="str">
        <f t="shared" si="114"/>
        <v/>
      </c>
      <c r="V756" t="str">
        <f>IF(C756="","",H756-InventoryTable[[#This Row],[Units Sold]])</f>
        <v/>
      </c>
      <c r="W756" t="str">
        <f t="shared" si="115"/>
        <v/>
      </c>
      <c r="X756" t="str">
        <f t="shared" si="116"/>
        <v/>
      </c>
      <c r="Y756" t="str">
        <f>IF(C756="","",IF(InventoryTable[[#This Row],[Stock Balance]]&lt;=0,"Sold Out",IF((InventoryTable[[#This Row],[Stock Balance]]/InventoryTable[[#This Row],[Total Pieces]])&lt;=0.25,"Low on Stocks","Available")))</f>
        <v/>
      </c>
    </row>
    <row r="757" spans="1:25" x14ac:dyDescent="0.3">
      <c r="A757" t="str">
        <f>IF(C757="","",_xlfn.CONCAT(LEFT(InventoryTable[[#This Row],[Category]],1),InventoryTable[[#This Row],[Product Pricing Type]],ROW()))</f>
        <v/>
      </c>
      <c r="H757" t="str">
        <f t="shared" si="117"/>
        <v/>
      </c>
      <c r="K757" t="str">
        <f t="shared" si="118"/>
        <v/>
      </c>
      <c r="N757" t="str">
        <f t="shared" si="119"/>
        <v/>
      </c>
      <c r="P757" t="str">
        <f t="shared" si="120"/>
        <v/>
      </c>
      <c r="Q757" s="4" t="str">
        <f t="shared" si="121"/>
        <v/>
      </c>
      <c r="R757" t="str">
        <f t="shared" si="122"/>
        <v/>
      </c>
      <c r="S757" t="str">
        <f t="shared" si="123"/>
        <v/>
      </c>
      <c r="T757" t="str">
        <f>IF(C757="","",InventoryTable[[#This Row],[Profit per Unit]]*InventoryTable[[#This Row],[Total Pieces]])</f>
        <v/>
      </c>
      <c r="U757" t="str">
        <f t="shared" si="114"/>
        <v/>
      </c>
      <c r="V757" t="str">
        <f>IF(C757="","",H757-InventoryTable[[#This Row],[Units Sold]])</f>
        <v/>
      </c>
      <c r="W757" t="str">
        <f t="shared" si="115"/>
        <v/>
      </c>
      <c r="X757" t="str">
        <f t="shared" si="116"/>
        <v/>
      </c>
      <c r="Y757" t="str">
        <f>IF(C757="","",IF(InventoryTable[[#This Row],[Stock Balance]]&lt;=0,"Sold Out",IF((InventoryTable[[#This Row],[Stock Balance]]/InventoryTable[[#This Row],[Total Pieces]])&lt;=0.25,"Low on Stocks","Available")))</f>
        <v/>
      </c>
    </row>
    <row r="758" spans="1:25" x14ac:dyDescent="0.3">
      <c r="A758" t="str">
        <f>IF(C758="","",_xlfn.CONCAT(LEFT(InventoryTable[[#This Row],[Category]],1),InventoryTable[[#This Row],[Product Pricing Type]],ROW()))</f>
        <v/>
      </c>
      <c r="H758" t="str">
        <f t="shared" si="117"/>
        <v/>
      </c>
      <c r="K758" t="str">
        <f t="shared" si="118"/>
        <v/>
      </c>
      <c r="N758" t="str">
        <f t="shared" si="119"/>
        <v/>
      </c>
      <c r="P758" t="str">
        <f t="shared" si="120"/>
        <v/>
      </c>
      <c r="Q758" s="4" t="str">
        <f t="shared" si="121"/>
        <v/>
      </c>
      <c r="R758" t="str">
        <f t="shared" si="122"/>
        <v/>
      </c>
      <c r="S758" t="str">
        <f t="shared" si="123"/>
        <v/>
      </c>
      <c r="T758" t="str">
        <f>IF(C758="","",InventoryTable[[#This Row],[Profit per Unit]]*InventoryTable[[#This Row],[Total Pieces]])</f>
        <v/>
      </c>
      <c r="U758" t="str">
        <f t="shared" si="114"/>
        <v/>
      </c>
      <c r="V758" t="str">
        <f>IF(C758="","",H758-InventoryTable[[#This Row],[Units Sold]])</f>
        <v/>
      </c>
      <c r="W758" t="str">
        <f t="shared" si="115"/>
        <v/>
      </c>
      <c r="X758" t="str">
        <f t="shared" si="116"/>
        <v/>
      </c>
      <c r="Y758" t="str">
        <f>IF(C758="","",IF(InventoryTable[[#This Row],[Stock Balance]]&lt;=0,"Sold Out",IF((InventoryTable[[#This Row],[Stock Balance]]/InventoryTable[[#This Row],[Total Pieces]])&lt;=0.25,"Low on Stocks","Available")))</f>
        <v/>
      </c>
    </row>
    <row r="759" spans="1:25" x14ac:dyDescent="0.3">
      <c r="A759" t="str">
        <f>IF(C759="","",_xlfn.CONCAT(LEFT(InventoryTable[[#This Row],[Category]],1),InventoryTable[[#This Row],[Product Pricing Type]],ROW()))</f>
        <v/>
      </c>
      <c r="H759" t="str">
        <f t="shared" si="117"/>
        <v/>
      </c>
      <c r="K759" t="str">
        <f t="shared" si="118"/>
        <v/>
      </c>
      <c r="N759" t="str">
        <f t="shared" si="119"/>
        <v/>
      </c>
      <c r="P759" t="str">
        <f t="shared" si="120"/>
        <v/>
      </c>
      <c r="Q759" s="4" t="str">
        <f t="shared" si="121"/>
        <v/>
      </c>
      <c r="R759" t="str">
        <f t="shared" si="122"/>
        <v/>
      </c>
      <c r="S759" t="str">
        <f t="shared" si="123"/>
        <v/>
      </c>
      <c r="T759" t="str">
        <f>IF(C759="","",InventoryTable[[#This Row],[Profit per Unit]]*InventoryTable[[#This Row],[Total Pieces]])</f>
        <v/>
      </c>
      <c r="U759" t="str">
        <f t="shared" si="114"/>
        <v/>
      </c>
      <c r="V759" t="str">
        <f>IF(C759="","",H759-InventoryTable[[#This Row],[Units Sold]])</f>
        <v/>
      </c>
      <c r="W759" t="str">
        <f t="shared" si="115"/>
        <v/>
      </c>
      <c r="X759" t="str">
        <f t="shared" si="116"/>
        <v/>
      </c>
      <c r="Y759" t="str">
        <f>IF(C759="","",IF(InventoryTable[[#This Row],[Stock Balance]]&lt;=0,"Sold Out",IF((InventoryTable[[#This Row],[Stock Balance]]/InventoryTable[[#This Row],[Total Pieces]])&lt;=0.25,"Low on Stocks","Available")))</f>
        <v/>
      </c>
    </row>
    <row r="760" spans="1:25" x14ac:dyDescent="0.3">
      <c r="A760" t="str">
        <f>IF(C760="","",_xlfn.CONCAT(LEFT(InventoryTable[[#This Row],[Category]],1),InventoryTable[[#This Row],[Product Pricing Type]],ROW()))</f>
        <v/>
      </c>
      <c r="H760" t="str">
        <f t="shared" si="117"/>
        <v/>
      </c>
      <c r="K760" t="str">
        <f t="shared" si="118"/>
        <v/>
      </c>
      <c r="N760" t="str">
        <f t="shared" si="119"/>
        <v/>
      </c>
      <c r="P760" t="str">
        <f t="shared" si="120"/>
        <v/>
      </c>
      <c r="Q760" s="4" t="str">
        <f t="shared" si="121"/>
        <v/>
      </c>
      <c r="R760" t="str">
        <f t="shared" si="122"/>
        <v/>
      </c>
      <c r="S760" t="str">
        <f t="shared" si="123"/>
        <v/>
      </c>
      <c r="T760" t="str">
        <f>IF(C760="","",InventoryTable[[#This Row],[Profit per Unit]]*InventoryTable[[#This Row],[Total Pieces]])</f>
        <v/>
      </c>
      <c r="U760" t="str">
        <f t="shared" si="114"/>
        <v/>
      </c>
      <c r="V760" t="str">
        <f>IF(C760="","",H760-InventoryTable[[#This Row],[Units Sold]])</f>
        <v/>
      </c>
      <c r="W760" t="str">
        <f t="shared" si="115"/>
        <v/>
      </c>
      <c r="X760" t="str">
        <f t="shared" si="116"/>
        <v/>
      </c>
      <c r="Y760" t="str">
        <f>IF(C760="","",IF(InventoryTable[[#This Row],[Stock Balance]]&lt;=0,"Sold Out",IF((InventoryTable[[#This Row],[Stock Balance]]/InventoryTable[[#This Row],[Total Pieces]])&lt;=0.25,"Low on Stocks","Available")))</f>
        <v/>
      </c>
    </row>
    <row r="761" spans="1:25" x14ac:dyDescent="0.3">
      <c r="A761" t="str">
        <f>IF(C761="","",_xlfn.CONCAT(LEFT(InventoryTable[[#This Row],[Category]],1),InventoryTable[[#This Row],[Product Pricing Type]],ROW()))</f>
        <v/>
      </c>
      <c r="H761" t="str">
        <f t="shared" si="117"/>
        <v/>
      </c>
      <c r="K761" t="str">
        <f t="shared" si="118"/>
        <v/>
      </c>
      <c r="N761" t="str">
        <f t="shared" si="119"/>
        <v/>
      </c>
      <c r="P761" t="str">
        <f t="shared" si="120"/>
        <v/>
      </c>
      <c r="Q761" s="4" t="str">
        <f t="shared" si="121"/>
        <v/>
      </c>
      <c r="R761" t="str">
        <f t="shared" si="122"/>
        <v/>
      </c>
      <c r="S761" t="str">
        <f t="shared" si="123"/>
        <v/>
      </c>
      <c r="T761" t="str">
        <f>IF(C761="","",InventoryTable[[#This Row],[Profit per Unit]]*InventoryTable[[#This Row],[Total Pieces]])</f>
        <v/>
      </c>
      <c r="U761" t="str">
        <f t="shared" si="114"/>
        <v/>
      </c>
      <c r="V761" t="str">
        <f>IF(C761="","",H761-InventoryTable[[#This Row],[Units Sold]])</f>
        <v/>
      </c>
      <c r="W761" t="str">
        <f t="shared" si="115"/>
        <v/>
      </c>
      <c r="X761" t="str">
        <f t="shared" si="116"/>
        <v/>
      </c>
      <c r="Y761" t="str">
        <f>IF(C761="","",IF(InventoryTable[[#This Row],[Stock Balance]]&lt;=0,"Sold Out",IF((InventoryTable[[#This Row],[Stock Balance]]/InventoryTable[[#This Row],[Total Pieces]])&lt;=0.25,"Low on Stocks","Available")))</f>
        <v/>
      </c>
    </row>
    <row r="762" spans="1:25" x14ac:dyDescent="0.3">
      <c r="A762" t="str">
        <f>IF(C762="","",_xlfn.CONCAT(LEFT(InventoryTable[[#This Row],[Category]],1),InventoryTable[[#This Row],[Product Pricing Type]],ROW()))</f>
        <v/>
      </c>
      <c r="H762" t="str">
        <f t="shared" si="117"/>
        <v/>
      </c>
      <c r="K762" t="str">
        <f t="shared" si="118"/>
        <v/>
      </c>
      <c r="N762" t="str">
        <f t="shared" si="119"/>
        <v/>
      </c>
      <c r="P762" t="str">
        <f t="shared" si="120"/>
        <v/>
      </c>
      <c r="Q762" s="4" t="str">
        <f t="shared" si="121"/>
        <v/>
      </c>
      <c r="R762" t="str">
        <f t="shared" si="122"/>
        <v/>
      </c>
      <c r="S762" t="str">
        <f t="shared" si="123"/>
        <v/>
      </c>
      <c r="T762" t="str">
        <f>IF(C762="","",InventoryTable[[#This Row],[Profit per Unit]]*InventoryTable[[#This Row],[Total Pieces]])</f>
        <v/>
      </c>
      <c r="U762" t="str">
        <f t="shared" si="114"/>
        <v/>
      </c>
      <c r="V762" t="str">
        <f>IF(C762="","",H762-InventoryTable[[#This Row],[Units Sold]])</f>
        <v/>
      </c>
      <c r="W762" t="str">
        <f t="shared" si="115"/>
        <v/>
      </c>
      <c r="X762" t="str">
        <f t="shared" si="116"/>
        <v/>
      </c>
      <c r="Y762" t="str">
        <f>IF(C762="","",IF(InventoryTable[[#This Row],[Stock Balance]]&lt;=0,"Sold Out",IF((InventoryTable[[#This Row],[Stock Balance]]/InventoryTable[[#This Row],[Total Pieces]])&lt;=0.25,"Low on Stocks","Available")))</f>
        <v/>
      </c>
    </row>
    <row r="763" spans="1:25" x14ac:dyDescent="0.3">
      <c r="A763" t="str">
        <f>IF(C763="","",_xlfn.CONCAT(LEFT(InventoryTable[[#This Row],[Category]],1),InventoryTable[[#This Row],[Product Pricing Type]],ROW()))</f>
        <v/>
      </c>
      <c r="H763" t="str">
        <f t="shared" si="117"/>
        <v/>
      </c>
      <c r="K763" t="str">
        <f t="shared" si="118"/>
        <v/>
      </c>
      <c r="N763" t="str">
        <f t="shared" si="119"/>
        <v/>
      </c>
      <c r="P763" t="str">
        <f t="shared" si="120"/>
        <v/>
      </c>
      <c r="Q763" s="4" t="str">
        <f t="shared" si="121"/>
        <v/>
      </c>
      <c r="R763" t="str">
        <f t="shared" si="122"/>
        <v/>
      </c>
      <c r="S763" t="str">
        <f t="shared" si="123"/>
        <v/>
      </c>
      <c r="T763" t="str">
        <f>IF(C763="","",InventoryTable[[#This Row],[Profit per Unit]]*InventoryTable[[#This Row],[Total Pieces]])</f>
        <v/>
      </c>
      <c r="U763" t="str">
        <f t="shared" si="114"/>
        <v/>
      </c>
      <c r="V763" t="str">
        <f>IF(C763="","",H763-InventoryTable[[#This Row],[Units Sold]])</f>
        <v/>
      </c>
      <c r="W763" t="str">
        <f t="shared" si="115"/>
        <v/>
      </c>
      <c r="X763" t="str">
        <f t="shared" si="116"/>
        <v/>
      </c>
      <c r="Y763" t="str">
        <f>IF(C763="","",IF(InventoryTable[[#This Row],[Stock Balance]]&lt;=0,"Sold Out",IF((InventoryTable[[#This Row],[Stock Balance]]/InventoryTable[[#This Row],[Total Pieces]])&lt;=0.25,"Low on Stocks","Available")))</f>
        <v/>
      </c>
    </row>
    <row r="764" spans="1:25" x14ac:dyDescent="0.3">
      <c r="A764" t="str">
        <f>IF(C764="","",_xlfn.CONCAT(LEFT(InventoryTable[[#This Row],[Category]],1),InventoryTable[[#This Row],[Product Pricing Type]],ROW()))</f>
        <v/>
      </c>
      <c r="H764" t="str">
        <f t="shared" si="117"/>
        <v/>
      </c>
      <c r="K764" t="str">
        <f t="shared" si="118"/>
        <v/>
      </c>
      <c r="N764" t="str">
        <f t="shared" si="119"/>
        <v/>
      </c>
      <c r="P764" t="str">
        <f t="shared" si="120"/>
        <v/>
      </c>
      <c r="Q764" s="4" t="str">
        <f t="shared" si="121"/>
        <v/>
      </c>
      <c r="R764" t="str">
        <f t="shared" si="122"/>
        <v/>
      </c>
      <c r="S764" t="str">
        <f t="shared" si="123"/>
        <v/>
      </c>
      <c r="T764" t="str">
        <f>IF(C764="","",InventoryTable[[#This Row],[Profit per Unit]]*InventoryTable[[#This Row],[Total Pieces]])</f>
        <v/>
      </c>
      <c r="U764" t="str">
        <f t="shared" si="114"/>
        <v/>
      </c>
      <c r="V764" t="str">
        <f>IF(C764="","",H764-InventoryTable[[#This Row],[Units Sold]])</f>
        <v/>
      </c>
      <c r="W764" t="str">
        <f t="shared" si="115"/>
        <v/>
      </c>
      <c r="X764" t="str">
        <f t="shared" si="116"/>
        <v/>
      </c>
      <c r="Y764" t="str">
        <f>IF(C764="","",IF(InventoryTable[[#This Row],[Stock Balance]]&lt;=0,"Sold Out",IF((InventoryTable[[#This Row],[Stock Balance]]/InventoryTable[[#This Row],[Total Pieces]])&lt;=0.25,"Low on Stocks","Available")))</f>
        <v/>
      </c>
    </row>
    <row r="765" spans="1:25" x14ac:dyDescent="0.3">
      <c r="A765" t="str">
        <f>IF(C765="","",_xlfn.CONCAT(LEFT(InventoryTable[[#This Row],[Category]],1),InventoryTable[[#This Row],[Product Pricing Type]],ROW()))</f>
        <v/>
      </c>
      <c r="H765" t="str">
        <f t="shared" si="117"/>
        <v/>
      </c>
      <c r="K765" t="str">
        <f t="shared" si="118"/>
        <v/>
      </c>
      <c r="N765" t="str">
        <f t="shared" si="119"/>
        <v/>
      </c>
      <c r="P765" t="str">
        <f t="shared" si="120"/>
        <v/>
      </c>
      <c r="Q765" s="4" t="str">
        <f t="shared" si="121"/>
        <v/>
      </c>
      <c r="R765" t="str">
        <f t="shared" si="122"/>
        <v/>
      </c>
      <c r="S765" t="str">
        <f t="shared" si="123"/>
        <v/>
      </c>
      <c r="T765" t="str">
        <f>IF(C765="","",InventoryTable[[#This Row],[Profit per Unit]]*InventoryTable[[#This Row],[Total Pieces]])</f>
        <v/>
      </c>
      <c r="U765" t="str">
        <f t="shared" ref="U765:U828" si="124">IF(C765="","",0)</f>
        <v/>
      </c>
      <c r="V765" t="str">
        <f>IF(C765="","",H765-InventoryTable[[#This Row],[Units Sold]])</f>
        <v/>
      </c>
      <c r="W765" t="str">
        <f t="shared" ref="W765:W828" si="125">IF(C765="","",Q765*U765)</f>
        <v/>
      </c>
      <c r="X765" t="str">
        <f t="shared" ref="X765:X828" si="126">IF(C765="","",S765*U765)</f>
        <v/>
      </c>
      <c r="Y765" t="str">
        <f>IF(C765="","",IF(InventoryTable[[#This Row],[Stock Balance]]&lt;=0,"Sold Out",IF((InventoryTable[[#This Row],[Stock Balance]]/InventoryTable[[#This Row],[Total Pieces]])&lt;=0.25,"Low on Stocks","Available")))</f>
        <v/>
      </c>
    </row>
    <row r="766" spans="1:25" x14ac:dyDescent="0.3">
      <c r="A766" t="str">
        <f>IF(C766="","",_xlfn.CONCAT(LEFT(InventoryTable[[#This Row],[Category]],1),InventoryTable[[#This Row],[Product Pricing Type]],ROW()))</f>
        <v/>
      </c>
      <c r="H766" t="str">
        <f t="shared" si="117"/>
        <v/>
      </c>
      <c r="K766" t="str">
        <f t="shared" si="118"/>
        <v/>
      </c>
      <c r="N766" t="str">
        <f t="shared" si="119"/>
        <v/>
      </c>
      <c r="P766" t="str">
        <f t="shared" si="120"/>
        <v/>
      </c>
      <c r="Q766" s="4" t="str">
        <f t="shared" si="121"/>
        <v/>
      </c>
      <c r="R766" t="str">
        <f t="shared" si="122"/>
        <v/>
      </c>
      <c r="S766" t="str">
        <f t="shared" si="123"/>
        <v/>
      </c>
      <c r="T766" t="str">
        <f>IF(C766="","",InventoryTable[[#This Row],[Profit per Unit]]*InventoryTable[[#This Row],[Total Pieces]])</f>
        <v/>
      </c>
      <c r="U766" t="str">
        <f t="shared" si="124"/>
        <v/>
      </c>
      <c r="V766" t="str">
        <f>IF(C766="","",H766-InventoryTable[[#This Row],[Units Sold]])</f>
        <v/>
      </c>
      <c r="W766" t="str">
        <f t="shared" si="125"/>
        <v/>
      </c>
      <c r="X766" t="str">
        <f t="shared" si="126"/>
        <v/>
      </c>
      <c r="Y766" t="str">
        <f>IF(C766="","",IF(InventoryTable[[#This Row],[Stock Balance]]&lt;=0,"Sold Out",IF((InventoryTable[[#This Row],[Stock Balance]]/InventoryTable[[#This Row],[Total Pieces]])&lt;=0.25,"Low on Stocks","Available")))</f>
        <v/>
      </c>
    </row>
    <row r="767" spans="1:25" x14ac:dyDescent="0.3">
      <c r="A767" t="str">
        <f>IF(C767="","",_xlfn.CONCAT(LEFT(InventoryTable[[#This Row],[Category]],1),InventoryTable[[#This Row],[Product Pricing Type]],ROW()))</f>
        <v/>
      </c>
      <c r="H767" t="str">
        <f t="shared" si="117"/>
        <v/>
      </c>
      <c r="K767" t="str">
        <f t="shared" si="118"/>
        <v/>
      </c>
      <c r="N767" t="str">
        <f t="shared" si="119"/>
        <v/>
      </c>
      <c r="P767" t="str">
        <f t="shared" si="120"/>
        <v/>
      </c>
      <c r="Q767" s="4" t="str">
        <f t="shared" si="121"/>
        <v/>
      </c>
      <c r="R767" t="str">
        <f t="shared" si="122"/>
        <v/>
      </c>
      <c r="S767" t="str">
        <f t="shared" si="123"/>
        <v/>
      </c>
      <c r="T767" t="str">
        <f>IF(C767="","",InventoryTable[[#This Row],[Profit per Unit]]*InventoryTable[[#This Row],[Total Pieces]])</f>
        <v/>
      </c>
      <c r="U767" t="str">
        <f t="shared" si="124"/>
        <v/>
      </c>
      <c r="V767" t="str">
        <f>IF(C767="","",H767-InventoryTable[[#This Row],[Units Sold]])</f>
        <v/>
      </c>
      <c r="W767" t="str">
        <f t="shared" si="125"/>
        <v/>
      </c>
      <c r="X767" t="str">
        <f t="shared" si="126"/>
        <v/>
      </c>
      <c r="Y767" t="str">
        <f>IF(C767="","",IF(InventoryTable[[#This Row],[Stock Balance]]&lt;=0,"Sold Out",IF((InventoryTable[[#This Row],[Stock Balance]]/InventoryTable[[#This Row],[Total Pieces]])&lt;=0.25,"Low on Stocks","Available")))</f>
        <v/>
      </c>
    </row>
    <row r="768" spans="1:25" x14ac:dyDescent="0.3">
      <c r="A768" t="str">
        <f>IF(C768="","",_xlfn.CONCAT(LEFT(InventoryTable[[#This Row],[Category]],1),InventoryTable[[#This Row],[Product Pricing Type]],ROW()))</f>
        <v/>
      </c>
      <c r="H768" t="str">
        <f t="shared" si="117"/>
        <v/>
      </c>
      <c r="K768" t="str">
        <f t="shared" si="118"/>
        <v/>
      </c>
      <c r="N768" t="str">
        <f t="shared" si="119"/>
        <v/>
      </c>
      <c r="P768" t="str">
        <f t="shared" si="120"/>
        <v/>
      </c>
      <c r="Q768" s="4" t="str">
        <f t="shared" si="121"/>
        <v/>
      </c>
      <c r="R768" t="str">
        <f t="shared" si="122"/>
        <v/>
      </c>
      <c r="S768" t="str">
        <f t="shared" si="123"/>
        <v/>
      </c>
      <c r="T768" t="str">
        <f>IF(C768="","",InventoryTable[[#This Row],[Profit per Unit]]*InventoryTable[[#This Row],[Total Pieces]])</f>
        <v/>
      </c>
      <c r="U768" t="str">
        <f t="shared" si="124"/>
        <v/>
      </c>
      <c r="V768" t="str">
        <f>IF(C768="","",H768-InventoryTable[[#This Row],[Units Sold]])</f>
        <v/>
      </c>
      <c r="W768" t="str">
        <f t="shared" si="125"/>
        <v/>
      </c>
      <c r="X768" t="str">
        <f t="shared" si="126"/>
        <v/>
      </c>
      <c r="Y768" t="str">
        <f>IF(C768="","",IF(InventoryTable[[#This Row],[Stock Balance]]&lt;=0,"Sold Out",IF((InventoryTable[[#This Row],[Stock Balance]]/InventoryTable[[#This Row],[Total Pieces]])&lt;=0.25,"Low on Stocks","Available")))</f>
        <v/>
      </c>
    </row>
    <row r="769" spans="1:25" x14ac:dyDescent="0.3">
      <c r="A769" t="str">
        <f>IF(C769="","",_xlfn.CONCAT(LEFT(InventoryTable[[#This Row],[Category]],1),InventoryTable[[#This Row],[Product Pricing Type]],ROW()))</f>
        <v/>
      </c>
      <c r="H769" t="str">
        <f t="shared" si="117"/>
        <v/>
      </c>
      <c r="K769" t="str">
        <f t="shared" si="118"/>
        <v/>
      </c>
      <c r="N769" t="str">
        <f t="shared" si="119"/>
        <v/>
      </c>
      <c r="P769" t="str">
        <f t="shared" si="120"/>
        <v/>
      </c>
      <c r="Q769" s="4" t="str">
        <f t="shared" si="121"/>
        <v/>
      </c>
      <c r="R769" t="str">
        <f t="shared" si="122"/>
        <v/>
      </c>
      <c r="S769" t="str">
        <f t="shared" si="123"/>
        <v/>
      </c>
      <c r="T769" t="str">
        <f>IF(C769="","",InventoryTable[[#This Row],[Profit per Unit]]*InventoryTable[[#This Row],[Total Pieces]])</f>
        <v/>
      </c>
      <c r="U769" t="str">
        <f t="shared" si="124"/>
        <v/>
      </c>
      <c r="V769" t="str">
        <f>IF(C769="","",H769-InventoryTable[[#This Row],[Units Sold]])</f>
        <v/>
      </c>
      <c r="W769" t="str">
        <f t="shared" si="125"/>
        <v/>
      </c>
      <c r="X769" t="str">
        <f t="shared" si="126"/>
        <v/>
      </c>
      <c r="Y769" t="str">
        <f>IF(C769="","",IF(InventoryTable[[#This Row],[Stock Balance]]&lt;=0,"Sold Out",IF((InventoryTable[[#This Row],[Stock Balance]]/InventoryTable[[#This Row],[Total Pieces]])&lt;=0.25,"Low on Stocks","Available")))</f>
        <v/>
      </c>
    </row>
    <row r="770" spans="1:25" x14ac:dyDescent="0.3">
      <c r="A770" t="str">
        <f>IF(C770="","",_xlfn.CONCAT(LEFT(InventoryTable[[#This Row],[Category]],1),InventoryTable[[#This Row],[Product Pricing Type]],ROW()))</f>
        <v/>
      </c>
      <c r="H770" t="str">
        <f t="shared" si="117"/>
        <v/>
      </c>
      <c r="K770" t="str">
        <f t="shared" si="118"/>
        <v/>
      </c>
      <c r="N770" t="str">
        <f t="shared" si="119"/>
        <v/>
      </c>
      <c r="P770" t="str">
        <f t="shared" si="120"/>
        <v/>
      </c>
      <c r="Q770" s="4" t="str">
        <f t="shared" si="121"/>
        <v/>
      </c>
      <c r="R770" t="str">
        <f t="shared" si="122"/>
        <v/>
      </c>
      <c r="S770" t="str">
        <f t="shared" si="123"/>
        <v/>
      </c>
      <c r="T770" t="str">
        <f>IF(C770="","",InventoryTable[[#This Row],[Profit per Unit]]*InventoryTable[[#This Row],[Total Pieces]])</f>
        <v/>
      </c>
      <c r="U770" t="str">
        <f t="shared" si="124"/>
        <v/>
      </c>
      <c r="V770" t="str">
        <f>IF(C770="","",H770-InventoryTable[[#This Row],[Units Sold]])</f>
        <v/>
      </c>
      <c r="W770" t="str">
        <f t="shared" si="125"/>
        <v/>
      </c>
      <c r="X770" t="str">
        <f t="shared" si="126"/>
        <v/>
      </c>
      <c r="Y770" t="str">
        <f>IF(C770="","",IF(InventoryTable[[#This Row],[Stock Balance]]&lt;=0,"Sold Out",IF((InventoryTable[[#This Row],[Stock Balance]]/InventoryTable[[#This Row],[Total Pieces]])&lt;=0.25,"Low on Stocks","Available")))</f>
        <v/>
      </c>
    </row>
    <row r="771" spans="1:25" x14ac:dyDescent="0.3">
      <c r="A771" t="str">
        <f>IF(C771="","",_xlfn.CONCAT(LEFT(InventoryTable[[#This Row],[Category]],1),InventoryTable[[#This Row],[Product Pricing Type]],ROW()))</f>
        <v/>
      </c>
      <c r="H771" t="str">
        <f t="shared" si="117"/>
        <v/>
      </c>
      <c r="K771" t="str">
        <f t="shared" si="118"/>
        <v/>
      </c>
      <c r="N771" t="str">
        <f t="shared" si="119"/>
        <v/>
      </c>
      <c r="P771" t="str">
        <f t="shared" si="120"/>
        <v/>
      </c>
      <c r="Q771" s="4" t="str">
        <f t="shared" si="121"/>
        <v/>
      </c>
      <c r="R771" t="str">
        <f t="shared" si="122"/>
        <v/>
      </c>
      <c r="S771" t="str">
        <f t="shared" si="123"/>
        <v/>
      </c>
      <c r="T771" t="str">
        <f>IF(C771="","",InventoryTable[[#This Row],[Profit per Unit]]*InventoryTable[[#This Row],[Total Pieces]])</f>
        <v/>
      </c>
      <c r="U771" t="str">
        <f t="shared" si="124"/>
        <v/>
      </c>
      <c r="V771" t="str">
        <f>IF(C771="","",H771-InventoryTable[[#This Row],[Units Sold]])</f>
        <v/>
      </c>
      <c r="W771" t="str">
        <f t="shared" si="125"/>
        <v/>
      </c>
      <c r="X771" t="str">
        <f t="shared" si="126"/>
        <v/>
      </c>
      <c r="Y771" t="str">
        <f>IF(C771="","",IF(InventoryTable[[#This Row],[Stock Balance]]&lt;=0,"Sold Out",IF((InventoryTable[[#This Row],[Stock Balance]]/InventoryTable[[#This Row],[Total Pieces]])&lt;=0.25,"Low on Stocks","Available")))</f>
        <v/>
      </c>
    </row>
    <row r="772" spans="1:25" x14ac:dyDescent="0.3">
      <c r="A772" t="str">
        <f>IF(C772="","",_xlfn.CONCAT(LEFT(InventoryTable[[#This Row],[Category]],1),InventoryTable[[#This Row],[Product Pricing Type]],ROW()))</f>
        <v/>
      </c>
      <c r="H772" t="str">
        <f t="shared" si="117"/>
        <v/>
      </c>
      <c r="K772" t="str">
        <f t="shared" si="118"/>
        <v/>
      </c>
      <c r="N772" t="str">
        <f t="shared" si="119"/>
        <v/>
      </c>
      <c r="P772" t="str">
        <f t="shared" si="120"/>
        <v/>
      </c>
      <c r="Q772" s="4" t="str">
        <f t="shared" si="121"/>
        <v/>
      </c>
      <c r="R772" t="str">
        <f t="shared" si="122"/>
        <v/>
      </c>
      <c r="S772" t="str">
        <f t="shared" si="123"/>
        <v/>
      </c>
      <c r="T772" t="str">
        <f>IF(C772="","",InventoryTable[[#This Row],[Profit per Unit]]*InventoryTable[[#This Row],[Total Pieces]])</f>
        <v/>
      </c>
      <c r="U772" t="str">
        <f t="shared" si="124"/>
        <v/>
      </c>
      <c r="V772" t="str">
        <f>IF(C772="","",H772-InventoryTable[[#This Row],[Units Sold]])</f>
        <v/>
      </c>
      <c r="W772" t="str">
        <f t="shared" si="125"/>
        <v/>
      </c>
      <c r="X772" t="str">
        <f t="shared" si="126"/>
        <v/>
      </c>
      <c r="Y772" t="str">
        <f>IF(C772="","",IF(InventoryTable[[#This Row],[Stock Balance]]&lt;=0,"Sold Out",IF((InventoryTable[[#This Row],[Stock Balance]]/InventoryTable[[#This Row],[Total Pieces]])&lt;=0.25,"Low on Stocks","Available")))</f>
        <v/>
      </c>
    </row>
    <row r="773" spans="1:25" x14ac:dyDescent="0.3">
      <c r="A773" t="str">
        <f>IF(C773="","",_xlfn.CONCAT(LEFT(InventoryTable[[#This Row],[Category]],1),InventoryTable[[#This Row],[Product Pricing Type]],ROW()))</f>
        <v/>
      </c>
      <c r="H773" t="str">
        <f t="shared" si="117"/>
        <v/>
      </c>
      <c r="K773" t="str">
        <f t="shared" si="118"/>
        <v/>
      </c>
      <c r="N773" t="str">
        <f t="shared" si="119"/>
        <v/>
      </c>
      <c r="P773" t="str">
        <f t="shared" si="120"/>
        <v/>
      </c>
      <c r="Q773" s="4" t="str">
        <f t="shared" si="121"/>
        <v/>
      </c>
      <c r="R773" t="str">
        <f t="shared" si="122"/>
        <v/>
      </c>
      <c r="S773" t="str">
        <f t="shared" si="123"/>
        <v/>
      </c>
      <c r="T773" t="str">
        <f>IF(C773="","",InventoryTable[[#This Row],[Profit per Unit]]*InventoryTable[[#This Row],[Total Pieces]])</f>
        <v/>
      </c>
      <c r="U773" t="str">
        <f t="shared" si="124"/>
        <v/>
      </c>
      <c r="V773" t="str">
        <f>IF(C773="","",H773-InventoryTable[[#This Row],[Units Sold]])</f>
        <v/>
      </c>
      <c r="W773" t="str">
        <f t="shared" si="125"/>
        <v/>
      </c>
      <c r="X773" t="str">
        <f t="shared" si="126"/>
        <v/>
      </c>
      <c r="Y773" t="str">
        <f>IF(C773="","",IF(InventoryTable[[#This Row],[Stock Balance]]&lt;=0,"Sold Out",IF((InventoryTable[[#This Row],[Stock Balance]]/InventoryTable[[#This Row],[Total Pieces]])&lt;=0.25,"Low on Stocks","Available")))</f>
        <v/>
      </c>
    </row>
    <row r="774" spans="1:25" x14ac:dyDescent="0.3">
      <c r="A774" t="str">
        <f>IF(C774="","",_xlfn.CONCAT(LEFT(InventoryTable[[#This Row],[Category]],1),InventoryTable[[#This Row],[Product Pricing Type]],ROW()))</f>
        <v/>
      </c>
      <c r="H774" t="str">
        <f t="shared" si="117"/>
        <v/>
      </c>
      <c r="K774" t="str">
        <f t="shared" si="118"/>
        <v/>
      </c>
      <c r="N774" t="str">
        <f t="shared" si="119"/>
        <v/>
      </c>
      <c r="P774" t="str">
        <f t="shared" si="120"/>
        <v/>
      </c>
      <c r="Q774" s="4" t="str">
        <f t="shared" si="121"/>
        <v/>
      </c>
      <c r="R774" t="str">
        <f t="shared" si="122"/>
        <v/>
      </c>
      <c r="S774" t="str">
        <f t="shared" si="123"/>
        <v/>
      </c>
      <c r="T774" t="str">
        <f>IF(C774="","",InventoryTable[[#This Row],[Profit per Unit]]*InventoryTable[[#This Row],[Total Pieces]])</f>
        <v/>
      </c>
      <c r="U774" t="str">
        <f t="shared" si="124"/>
        <v/>
      </c>
      <c r="V774" t="str">
        <f>IF(C774="","",H774-InventoryTable[[#This Row],[Units Sold]])</f>
        <v/>
      </c>
      <c r="W774" t="str">
        <f t="shared" si="125"/>
        <v/>
      </c>
      <c r="X774" t="str">
        <f t="shared" si="126"/>
        <v/>
      </c>
      <c r="Y774" t="str">
        <f>IF(C774="","",IF(InventoryTable[[#This Row],[Stock Balance]]&lt;=0,"Sold Out",IF((InventoryTable[[#This Row],[Stock Balance]]/InventoryTable[[#This Row],[Total Pieces]])&lt;=0.25,"Low on Stocks","Available")))</f>
        <v/>
      </c>
    </row>
    <row r="775" spans="1:25" x14ac:dyDescent="0.3">
      <c r="A775" t="str">
        <f>IF(C775="","",_xlfn.CONCAT(LEFT(InventoryTable[[#This Row],[Category]],1),InventoryTable[[#This Row],[Product Pricing Type]],ROW()))</f>
        <v/>
      </c>
      <c r="H775" t="str">
        <f t="shared" si="117"/>
        <v/>
      </c>
      <c r="K775" t="str">
        <f t="shared" si="118"/>
        <v/>
      </c>
      <c r="N775" t="str">
        <f t="shared" si="119"/>
        <v/>
      </c>
      <c r="P775" t="str">
        <f t="shared" si="120"/>
        <v/>
      </c>
      <c r="Q775" s="4" t="str">
        <f t="shared" si="121"/>
        <v/>
      </c>
      <c r="R775" t="str">
        <f t="shared" si="122"/>
        <v/>
      </c>
      <c r="S775" t="str">
        <f t="shared" si="123"/>
        <v/>
      </c>
      <c r="T775" t="str">
        <f>IF(C775="","",InventoryTable[[#This Row],[Profit per Unit]]*InventoryTable[[#This Row],[Total Pieces]])</f>
        <v/>
      </c>
      <c r="U775" t="str">
        <f t="shared" si="124"/>
        <v/>
      </c>
      <c r="V775" t="str">
        <f>IF(C775="","",H775-InventoryTable[[#This Row],[Units Sold]])</f>
        <v/>
      </c>
      <c r="W775" t="str">
        <f t="shared" si="125"/>
        <v/>
      </c>
      <c r="X775" t="str">
        <f t="shared" si="126"/>
        <v/>
      </c>
      <c r="Y775" t="str">
        <f>IF(C775="","",IF(InventoryTable[[#This Row],[Stock Balance]]&lt;=0,"Sold Out",IF((InventoryTable[[#This Row],[Stock Balance]]/InventoryTable[[#This Row],[Total Pieces]])&lt;=0.25,"Low on Stocks","Available")))</f>
        <v/>
      </c>
    </row>
    <row r="776" spans="1:25" x14ac:dyDescent="0.3">
      <c r="A776" t="str">
        <f>IF(C776="","",_xlfn.CONCAT(LEFT(InventoryTable[[#This Row],[Category]],1),InventoryTable[[#This Row],[Product Pricing Type]],ROW()))</f>
        <v/>
      </c>
      <c r="H776" t="str">
        <f t="shared" si="117"/>
        <v/>
      </c>
      <c r="K776" t="str">
        <f t="shared" si="118"/>
        <v/>
      </c>
      <c r="N776" t="str">
        <f t="shared" si="119"/>
        <v/>
      </c>
      <c r="P776" t="str">
        <f t="shared" si="120"/>
        <v/>
      </c>
      <c r="Q776" s="4" t="str">
        <f t="shared" si="121"/>
        <v/>
      </c>
      <c r="R776" t="str">
        <f t="shared" si="122"/>
        <v/>
      </c>
      <c r="S776" t="str">
        <f t="shared" si="123"/>
        <v/>
      </c>
      <c r="T776" t="str">
        <f>IF(C776="","",InventoryTable[[#This Row],[Profit per Unit]]*InventoryTable[[#This Row],[Total Pieces]])</f>
        <v/>
      </c>
      <c r="U776" t="str">
        <f t="shared" si="124"/>
        <v/>
      </c>
      <c r="V776" t="str">
        <f>IF(C776="","",H776-InventoryTable[[#This Row],[Units Sold]])</f>
        <v/>
      </c>
      <c r="W776" t="str">
        <f t="shared" si="125"/>
        <v/>
      </c>
      <c r="X776" t="str">
        <f t="shared" si="126"/>
        <v/>
      </c>
      <c r="Y776" t="str">
        <f>IF(C776="","",IF(InventoryTable[[#This Row],[Stock Balance]]&lt;=0,"Sold Out",IF((InventoryTable[[#This Row],[Stock Balance]]/InventoryTable[[#This Row],[Total Pieces]])&lt;=0.25,"Low on Stocks","Available")))</f>
        <v/>
      </c>
    </row>
    <row r="777" spans="1:25" x14ac:dyDescent="0.3">
      <c r="A777" t="str">
        <f>IF(C777="","",_xlfn.CONCAT(LEFT(InventoryTable[[#This Row],[Category]],1),InventoryTable[[#This Row],[Product Pricing Type]],ROW()))</f>
        <v/>
      </c>
      <c r="H777" t="str">
        <f t="shared" si="117"/>
        <v/>
      </c>
      <c r="K777" t="str">
        <f t="shared" si="118"/>
        <v/>
      </c>
      <c r="N777" t="str">
        <f t="shared" si="119"/>
        <v/>
      </c>
      <c r="P777" t="str">
        <f t="shared" si="120"/>
        <v/>
      </c>
      <c r="Q777" s="4" t="str">
        <f t="shared" si="121"/>
        <v/>
      </c>
      <c r="R777" t="str">
        <f t="shared" si="122"/>
        <v/>
      </c>
      <c r="S777" t="str">
        <f t="shared" si="123"/>
        <v/>
      </c>
      <c r="T777" t="str">
        <f>IF(C777="","",InventoryTable[[#This Row],[Profit per Unit]]*InventoryTable[[#This Row],[Total Pieces]])</f>
        <v/>
      </c>
      <c r="U777" t="str">
        <f t="shared" si="124"/>
        <v/>
      </c>
      <c r="V777" t="str">
        <f>IF(C777="","",H777-InventoryTable[[#This Row],[Units Sold]])</f>
        <v/>
      </c>
      <c r="W777" t="str">
        <f t="shared" si="125"/>
        <v/>
      </c>
      <c r="X777" t="str">
        <f t="shared" si="126"/>
        <v/>
      </c>
      <c r="Y777" t="str">
        <f>IF(C777="","",IF(InventoryTable[[#This Row],[Stock Balance]]&lt;=0,"Sold Out",IF((InventoryTable[[#This Row],[Stock Balance]]/InventoryTable[[#This Row],[Total Pieces]])&lt;=0.25,"Low on Stocks","Available")))</f>
        <v/>
      </c>
    </row>
    <row r="778" spans="1:25" x14ac:dyDescent="0.3">
      <c r="A778" t="str">
        <f>IF(C778="","",_xlfn.CONCAT(LEFT(InventoryTable[[#This Row],[Category]],1),InventoryTable[[#This Row],[Product Pricing Type]],ROW()))</f>
        <v/>
      </c>
      <c r="H778" t="str">
        <f t="shared" si="117"/>
        <v/>
      </c>
      <c r="K778" t="str">
        <f t="shared" si="118"/>
        <v/>
      </c>
      <c r="N778" t="str">
        <f t="shared" si="119"/>
        <v/>
      </c>
      <c r="P778" t="str">
        <f t="shared" si="120"/>
        <v/>
      </c>
      <c r="Q778" s="4" t="str">
        <f t="shared" si="121"/>
        <v/>
      </c>
      <c r="R778" t="str">
        <f t="shared" si="122"/>
        <v/>
      </c>
      <c r="S778" t="str">
        <f t="shared" si="123"/>
        <v/>
      </c>
      <c r="T778" t="str">
        <f>IF(C778="","",InventoryTable[[#This Row],[Profit per Unit]]*InventoryTable[[#This Row],[Total Pieces]])</f>
        <v/>
      </c>
      <c r="U778" t="str">
        <f t="shared" si="124"/>
        <v/>
      </c>
      <c r="V778" t="str">
        <f>IF(C778="","",H778-InventoryTable[[#This Row],[Units Sold]])</f>
        <v/>
      </c>
      <c r="W778" t="str">
        <f t="shared" si="125"/>
        <v/>
      </c>
      <c r="X778" t="str">
        <f t="shared" si="126"/>
        <v/>
      </c>
      <c r="Y778" t="str">
        <f>IF(C778="","",IF(InventoryTable[[#This Row],[Stock Balance]]&lt;=0,"Sold Out",IF((InventoryTable[[#This Row],[Stock Balance]]/InventoryTable[[#This Row],[Total Pieces]])&lt;=0.25,"Low on Stocks","Available")))</f>
        <v/>
      </c>
    </row>
    <row r="779" spans="1:25" x14ac:dyDescent="0.3">
      <c r="A779" t="str">
        <f>IF(C779="","",_xlfn.CONCAT(LEFT(InventoryTable[[#This Row],[Category]],1),InventoryTable[[#This Row],[Product Pricing Type]],ROW()))</f>
        <v/>
      </c>
      <c r="H779" t="str">
        <f t="shared" si="117"/>
        <v/>
      </c>
      <c r="K779" t="str">
        <f t="shared" si="118"/>
        <v/>
      </c>
      <c r="N779" t="str">
        <f t="shared" si="119"/>
        <v/>
      </c>
      <c r="P779" t="str">
        <f t="shared" si="120"/>
        <v/>
      </c>
      <c r="Q779" s="4" t="str">
        <f t="shared" si="121"/>
        <v/>
      </c>
      <c r="R779" t="str">
        <f t="shared" si="122"/>
        <v/>
      </c>
      <c r="S779" t="str">
        <f t="shared" si="123"/>
        <v/>
      </c>
      <c r="T779" t="str">
        <f>IF(C779="","",InventoryTable[[#This Row],[Profit per Unit]]*InventoryTable[[#This Row],[Total Pieces]])</f>
        <v/>
      </c>
      <c r="U779" t="str">
        <f t="shared" si="124"/>
        <v/>
      </c>
      <c r="V779" t="str">
        <f>IF(C779="","",H779-InventoryTable[[#This Row],[Units Sold]])</f>
        <v/>
      </c>
      <c r="W779" t="str">
        <f t="shared" si="125"/>
        <v/>
      </c>
      <c r="X779" t="str">
        <f t="shared" si="126"/>
        <v/>
      </c>
      <c r="Y779" t="str">
        <f>IF(C779="","",IF(InventoryTable[[#This Row],[Stock Balance]]&lt;=0,"Sold Out",IF((InventoryTable[[#This Row],[Stock Balance]]/InventoryTable[[#This Row],[Total Pieces]])&lt;=0.25,"Low on Stocks","Available")))</f>
        <v/>
      </c>
    </row>
    <row r="780" spans="1:25" x14ac:dyDescent="0.3">
      <c r="A780" t="str">
        <f>IF(C780="","",_xlfn.CONCAT(LEFT(InventoryTable[[#This Row],[Category]],1),InventoryTable[[#This Row],[Product Pricing Type]],ROW()))</f>
        <v/>
      </c>
      <c r="H780" t="str">
        <f t="shared" si="117"/>
        <v/>
      </c>
      <c r="K780" t="str">
        <f t="shared" si="118"/>
        <v/>
      </c>
      <c r="N780" t="str">
        <f t="shared" si="119"/>
        <v/>
      </c>
      <c r="P780" t="str">
        <f t="shared" si="120"/>
        <v/>
      </c>
      <c r="Q780" s="4" t="str">
        <f t="shared" si="121"/>
        <v/>
      </c>
      <c r="R780" t="str">
        <f t="shared" si="122"/>
        <v/>
      </c>
      <c r="S780" t="str">
        <f t="shared" si="123"/>
        <v/>
      </c>
      <c r="T780" t="str">
        <f>IF(C780="","",InventoryTable[[#This Row],[Profit per Unit]]*InventoryTable[[#This Row],[Total Pieces]])</f>
        <v/>
      </c>
      <c r="U780" t="str">
        <f t="shared" si="124"/>
        <v/>
      </c>
      <c r="V780" t="str">
        <f>IF(C780="","",H780-InventoryTable[[#This Row],[Units Sold]])</f>
        <v/>
      </c>
      <c r="W780" t="str">
        <f t="shared" si="125"/>
        <v/>
      </c>
      <c r="X780" t="str">
        <f t="shared" si="126"/>
        <v/>
      </c>
      <c r="Y780" t="str">
        <f>IF(C780="","",IF(InventoryTable[[#This Row],[Stock Balance]]&lt;=0,"Sold Out",IF((InventoryTable[[#This Row],[Stock Balance]]/InventoryTable[[#This Row],[Total Pieces]])&lt;=0.25,"Low on Stocks","Available")))</f>
        <v/>
      </c>
    </row>
    <row r="781" spans="1:25" x14ac:dyDescent="0.3">
      <c r="A781" t="str">
        <f>IF(C781="","",_xlfn.CONCAT(LEFT(InventoryTable[[#This Row],[Category]],1),InventoryTable[[#This Row],[Product Pricing Type]],ROW()))</f>
        <v/>
      </c>
      <c r="H781" t="str">
        <f t="shared" si="117"/>
        <v/>
      </c>
      <c r="K781" t="str">
        <f t="shared" si="118"/>
        <v/>
      </c>
      <c r="N781" t="str">
        <f t="shared" si="119"/>
        <v/>
      </c>
      <c r="P781" t="str">
        <f t="shared" si="120"/>
        <v/>
      </c>
      <c r="Q781" s="4" t="str">
        <f t="shared" si="121"/>
        <v/>
      </c>
      <c r="R781" t="str">
        <f t="shared" si="122"/>
        <v/>
      </c>
      <c r="S781" t="str">
        <f t="shared" si="123"/>
        <v/>
      </c>
      <c r="T781" t="str">
        <f>IF(C781="","",InventoryTable[[#This Row],[Profit per Unit]]*InventoryTable[[#This Row],[Total Pieces]])</f>
        <v/>
      </c>
      <c r="U781" t="str">
        <f t="shared" si="124"/>
        <v/>
      </c>
      <c r="V781" t="str">
        <f>IF(C781="","",H781-InventoryTable[[#This Row],[Units Sold]])</f>
        <v/>
      </c>
      <c r="W781" t="str">
        <f t="shared" si="125"/>
        <v/>
      </c>
      <c r="X781" t="str">
        <f t="shared" si="126"/>
        <v/>
      </c>
      <c r="Y781" t="str">
        <f>IF(C781="","",IF(InventoryTable[[#This Row],[Stock Balance]]&lt;=0,"Sold Out",IF((InventoryTable[[#This Row],[Stock Balance]]/InventoryTable[[#This Row],[Total Pieces]])&lt;=0.25,"Low on Stocks","Available")))</f>
        <v/>
      </c>
    </row>
    <row r="782" spans="1:25" x14ac:dyDescent="0.3">
      <c r="A782" t="str">
        <f>IF(C782="","",_xlfn.CONCAT(LEFT(InventoryTable[[#This Row],[Category]],1),InventoryTable[[#This Row],[Product Pricing Type]],ROW()))</f>
        <v/>
      </c>
      <c r="H782" t="str">
        <f t="shared" si="117"/>
        <v/>
      </c>
      <c r="K782" t="str">
        <f t="shared" si="118"/>
        <v/>
      </c>
      <c r="N782" t="str">
        <f t="shared" si="119"/>
        <v/>
      </c>
      <c r="P782" t="str">
        <f t="shared" si="120"/>
        <v/>
      </c>
      <c r="Q782" s="4" t="str">
        <f t="shared" si="121"/>
        <v/>
      </c>
      <c r="R782" t="str">
        <f t="shared" si="122"/>
        <v/>
      </c>
      <c r="S782" t="str">
        <f t="shared" si="123"/>
        <v/>
      </c>
      <c r="T782" t="str">
        <f>IF(C782="","",InventoryTable[[#This Row],[Profit per Unit]]*InventoryTable[[#This Row],[Total Pieces]])</f>
        <v/>
      </c>
      <c r="U782" t="str">
        <f t="shared" si="124"/>
        <v/>
      </c>
      <c r="V782" t="str">
        <f>IF(C782="","",H782-InventoryTable[[#This Row],[Units Sold]])</f>
        <v/>
      </c>
      <c r="W782" t="str">
        <f t="shared" si="125"/>
        <v/>
      </c>
      <c r="X782" t="str">
        <f t="shared" si="126"/>
        <v/>
      </c>
      <c r="Y782" t="str">
        <f>IF(C782="","",IF(InventoryTable[[#This Row],[Stock Balance]]&lt;=0,"Sold Out",IF((InventoryTable[[#This Row],[Stock Balance]]/InventoryTable[[#This Row],[Total Pieces]])&lt;=0.25,"Low on Stocks","Available")))</f>
        <v/>
      </c>
    </row>
    <row r="783" spans="1:25" x14ac:dyDescent="0.3">
      <c r="A783" t="str">
        <f>IF(C783="","",_xlfn.CONCAT(LEFT(InventoryTable[[#This Row],[Category]],1),InventoryTable[[#This Row],[Product Pricing Type]],ROW()))</f>
        <v/>
      </c>
      <c r="H783" t="str">
        <f t="shared" si="117"/>
        <v/>
      </c>
      <c r="K783" t="str">
        <f t="shared" si="118"/>
        <v/>
      </c>
      <c r="N783" t="str">
        <f t="shared" si="119"/>
        <v/>
      </c>
      <c r="P783" t="str">
        <f t="shared" si="120"/>
        <v/>
      </c>
      <c r="Q783" s="4" t="str">
        <f t="shared" si="121"/>
        <v/>
      </c>
      <c r="R783" t="str">
        <f t="shared" si="122"/>
        <v/>
      </c>
      <c r="S783" t="str">
        <f t="shared" si="123"/>
        <v/>
      </c>
      <c r="T783" t="str">
        <f>IF(C783="","",InventoryTable[[#This Row],[Profit per Unit]]*InventoryTable[[#This Row],[Total Pieces]])</f>
        <v/>
      </c>
      <c r="U783" t="str">
        <f t="shared" si="124"/>
        <v/>
      </c>
      <c r="V783" t="str">
        <f>IF(C783="","",H783-InventoryTable[[#This Row],[Units Sold]])</f>
        <v/>
      </c>
      <c r="W783" t="str">
        <f t="shared" si="125"/>
        <v/>
      </c>
      <c r="X783" t="str">
        <f t="shared" si="126"/>
        <v/>
      </c>
      <c r="Y783" t="str">
        <f>IF(C783="","",IF(InventoryTable[[#This Row],[Stock Balance]]&lt;=0,"Sold Out",IF((InventoryTable[[#This Row],[Stock Balance]]/InventoryTable[[#This Row],[Total Pieces]])&lt;=0.25,"Low on Stocks","Available")))</f>
        <v/>
      </c>
    </row>
    <row r="784" spans="1:25" x14ac:dyDescent="0.3">
      <c r="A784" t="str">
        <f>IF(C784="","",_xlfn.CONCAT(LEFT(InventoryTable[[#This Row],[Category]],1),InventoryTable[[#This Row],[Product Pricing Type]],ROW()))</f>
        <v/>
      </c>
      <c r="H784" t="str">
        <f t="shared" si="117"/>
        <v/>
      </c>
      <c r="K784" t="str">
        <f t="shared" si="118"/>
        <v/>
      </c>
      <c r="N784" t="str">
        <f t="shared" si="119"/>
        <v/>
      </c>
      <c r="P784" t="str">
        <f t="shared" si="120"/>
        <v/>
      </c>
      <c r="Q784" s="4" t="str">
        <f t="shared" si="121"/>
        <v/>
      </c>
      <c r="R784" t="str">
        <f t="shared" si="122"/>
        <v/>
      </c>
      <c r="S784" t="str">
        <f t="shared" si="123"/>
        <v/>
      </c>
      <c r="T784" t="str">
        <f>IF(C784="","",InventoryTable[[#This Row],[Profit per Unit]]*InventoryTable[[#This Row],[Total Pieces]])</f>
        <v/>
      </c>
      <c r="U784" t="str">
        <f t="shared" si="124"/>
        <v/>
      </c>
      <c r="V784" t="str">
        <f>IF(C784="","",H784-InventoryTable[[#This Row],[Units Sold]])</f>
        <v/>
      </c>
      <c r="W784" t="str">
        <f t="shared" si="125"/>
        <v/>
      </c>
      <c r="X784" t="str">
        <f t="shared" si="126"/>
        <v/>
      </c>
      <c r="Y784" t="str">
        <f>IF(C784="","",IF(InventoryTable[[#This Row],[Stock Balance]]&lt;=0,"Sold Out",IF((InventoryTable[[#This Row],[Stock Balance]]/InventoryTable[[#This Row],[Total Pieces]])&lt;=0.25,"Low on Stocks","Available")))</f>
        <v/>
      </c>
    </row>
    <row r="785" spans="1:25" x14ac:dyDescent="0.3">
      <c r="A785" t="str">
        <f>IF(C785="","",_xlfn.CONCAT(LEFT(InventoryTable[[#This Row],[Category]],1),InventoryTable[[#This Row],[Product Pricing Type]],ROW()))</f>
        <v/>
      </c>
      <c r="H785" t="str">
        <f t="shared" si="117"/>
        <v/>
      </c>
      <c r="K785" t="str">
        <f t="shared" si="118"/>
        <v/>
      </c>
      <c r="N785" t="str">
        <f t="shared" si="119"/>
        <v/>
      </c>
      <c r="P785" t="str">
        <f t="shared" si="120"/>
        <v/>
      </c>
      <c r="Q785" s="4" t="str">
        <f t="shared" si="121"/>
        <v/>
      </c>
      <c r="R785" t="str">
        <f t="shared" si="122"/>
        <v/>
      </c>
      <c r="S785" t="str">
        <f t="shared" si="123"/>
        <v/>
      </c>
      <c r="T785" t="str">
        <f>IF(C785="","",InventoryTable[[#This Row],[Profit per Unit]]*InventoryTable[[#This Row],[Total Pieces]])</f>
        <v/>
      </c>
      <c r="U785" t="str">
        <f t="shared" si="124"/>
        <v/>
      </c>
      <c r="V785" t="str">
        <f>IF(C785="","",H785-InventoryTable[[#This Row],[Units Sold]])</f>
        <v/>
      </c>
      <c r="W785" t="str">
        <f t="shared" si="125"/>
        <v/>
      </c>
      <c r="X785" t="str">
        <f t="shared" si="126"/>
        <v/>
      </c>
      <c r="Y785" t="str">
        <f>IF(C785="","",IF(InventoryTable[[#This Row],[Stock Balance]]&lt;=0,"Sold Out",IF((InventoryTable[[#This Row],[Stock Balance]]/InventoryTable[[#This Row],[Total Pieces]])&lt;=0.25,"Low on Stocks","Available")))</f>
        <v/>
      </c>
    </row>
    <row r="786" spans="1:25" x14ac:dyDescent="0.3">
      <c r="A786" t="str">
        <f>IF(C786="","",_xlfn.CONCAT(LEFT(InventoryTable[[#This Row],[Category]],1),InventoryTable[[#This Row],[Product Pricing Type]],ROW()))</f>
        <v/>
      </c>
      <c r="H786" t="str">
        <f t="shared" si="117"/>
        <v/>
      </c>
      <c r="K786" t="str">
        <f t="shared" si="118"/>
        <v/>
      </c>
      <c r="N786" t="str">
        <f t="shared" si="119"/>
        <v/>
      </c>
      <c r="P786" t="str">
        <f t="shared" si="120"/>
        <v/>
      </c>
      <c r="Q786" s="4" t="str">
        <f t="shared" si="121"/>
        <v/>
      </c>
      <c r="R786" t="str">
        <f t="shared" si="122"/>
        <v/>
      </c>
      <c r="S786" t="str">
        <f t="shared" si="123"/>
        <v/>
      </c>
      <c r="T786" t="str">
        <f>IF(C786="","",InventoryTable[[#This Row],[Profit per Unit]]*InventoryTable[[#This Row],[Total Pieces]])</f>
        <v/>
      </c>
      <c r="U786" t="str">
        <f t="shared" si="124"/>
        <v/>
      </c>
      <c r="V786" t="str">
        <f>IF(C786="","",H786-InventoryTable[[#This Row],[Units Sold]])</f>
        <v/>
      </c>
      <c r="W786" t="str">
        <f t="shared" si="125"/>
        <v/>
      </c>
      <c r="X786" t="str">
        <f t="shared" si="126"/>
        <v/>
      </c>
      <c r="Y786" t="str">
        <f>IF(C786="","",IF(InventoryTable[[#This Row],[Stock Balance]]&lt;=0,"Sold Out",IF((InventoryTable[[#This Row],[Stock Balance]]/InventoryTable[[#This Row],[Total Pieces]])&lt;=0.25,"Low on Stocks","Available")))</f>
        <v/>
      </c>
    </row>
    <row r="787" spans="1:25" x14ac:dyDescent="0.3">
      <c r="A787" t="str">
        <f>IF(C787="","",_xlfn.CONCAT(LEFT(InventoryTable[[#This Row],[Category]],1),InventoryTable[[#This Row],[Product Pricing Type]],ROW()))</f>
        <v/>
      </c>
      <c r="H787" t="str">
        <f t="shared" si="117"/>
        <v/>
      </c>
      <c r="K787" t="str">
        <f t="shared" si="118"/>
        <v/>
      </c>
      <c r="N787" t="str">
        <f t="shared" si="119"/>
        <v/>
      </c>
      <c r="P787" t="str">
        <f t="shared" si="120"/>
        <v/>
      </c>
      <c r="Q787" s="4" t="str">
        <f t="shared" si="121"/>
        <v/>
      </c>
      <c r="R787" t="str">
        <f t="shared" si="122"/>
        <v/>
      </c>
      <c r="S787" t="str">
        <f t="shared" si="123"/>
        <v/>
      </c>
      <c r="T787" t="str">
        <f>IF(C787="","",InventoryTable[[#This Row],[Profit per Unit]]*InventoryTable[[#This Row],[Total Pieces]])</f>
        <v/>
      </c>
      <c r="U787" t="str">
        <f t="shared" si="124"/>
        <v/>
      </c>
      <c r="V787" t="str">
        <f>IF(C787="","",H787-InventoryTable[[#This Row],[Units Sold]])</f>
        <v/>
      </c>
      <c r="W787" t="str">
        <f t="shared" si="125"/>
        <v/>
      </c>
      <c r="X787" t="str">
        <f t="shared" si="126"/>
        <v/>
      </c>
      <c r="Y787" t="str">
        <f>IF(C787="","",IF(InventoryTable[[#This Row],[Stock Balance]]&lt;=0,"Sold Out",IF((InventoryTable[[#This Row],[Stock Balance]]/InventoryTable[[#This Row],[Total Pieces]])&lt;=0.25,"Low on Stocks","Available")))</f>
        <v/>
      </c>
    </row>
    <row r="788" spans="1:25" x14ac:dyDescent="0.3">
      <c r="A788" t="str">
        <f>IF(C788="","",_xlfn.CONCAT(LEFT(InventoryTable[[#This Row],[Category]],1),InventoryTable[[#This Row],[Product Pricing Type]],ROW()))</f>
        <v/>
      </c>
      <c r="H788" t="str">
        <f t="shared" si="117"/>
        <v/>
      </c>
      <c r="K788" t="str">
        <f t="shared" si="118"/>
        <v/>
      </c>
      <c r="N788" t="str">
        <f t="shared" si="119"/>
        <v/>
      </c>
      <c r="P788" t="str">
        <f t="shared" si="120"/>
        <v/>
      </c>
      <c r="Q788" s="4" t="str">
        <f t="shared" si="121"/>
        <v/>
      </c>
      <c r="R788" t="str">
        <f t="shared" si="122"/>
        <v/>
      </c>
      <c r="S788" t="str">
        <f t="shared" si="123"/>
        <v/>
      </c>
      <c r="T788" t="str">
        <f>IF(C788="","",InventoryTable[[#This Row],[Profit per Unit]]*InventoryTable[[#This Row],[Total Pieces]])</f>
        <v/>
      </c>
      <c r="U788" t="str">
        <f t="shared" si="124"/>
        <v/>
      </c>
      <c r="V788" t="str">
        <f>IF(C788="","",H788-InventoryTable[[#This Row],[Units Sold]])</f>
        <v/>
      </c>
      <c r="W788" t="str">
        <f t="shared" si="125"/>
        <v/>
      </c>
      <c r="X788" t="str">
        <f t="shared" si="126"/>
        <v/>
      </c>
      <c r="Y788" t="str">
        <f>IF(C788="","",IF(InventoryTable[[#This Row],[Stock Balance]]&lt;=0,"Sold Out",IF((InventoryTable[[#This Row],[Stock Balance]]/InventoryTable[[#This Row],[Total Pieces]])&lt;=0.25,"Low on Stocks","Available")))</f>
        <v/>
      </c>
    </row>
    <row r="789" spans="1:25" x14ac:dyDescent="0.3">
      <c r="A789" t="str">
        <f>IF(C789="","",_xlfn.CONCAT(LEFT(InventoryTable[[#This Row],[Category]],1),InventoryTable[[#This Row],[Product Pricing Type]],ROW()))</f>
        <v/>
      </c>
      <c r="H789" t="str">
        <f t="shared" si="117"/>
        <v/>
      </c>
      <c r="K789" t="str">
        <f t="shared" si="118"/>
        <v/>
      </c>
      <c r="N789" t="str">
        <f t="shared" si="119"/>
        <v/>
      </c>
      <c r="P789" t="str">
        <f t="shared" si="120"/>
        <v/>
      </c>
      <c r="Q789" s="4" t="str">
        <f t="shared" si="121"/>
        <v/>
      </c>
      <c r="R789" t="str">
        <f t="shared" si="122"/>
        <v/>
      </c>
      <c r="S789" t="str">
        <f t="shared" si="123"/>
        <v/>
      </c>
      <c r="T789" t="str">
        <f>IF(C789="","",InventoryTable[[#This Row],[Profit per Unit]]*InventoryTable[[#This Row],[Total Pieces]])</f>
        <v/>
      </c>
      <c r="U789" t="str">
        <f t="shared" si="124"/>
        <v/>
      </c>
      <c r="V789" t="str">
        <f>IF(C789="","",H789-InventoryTable[[#This Row],[Units Sold]])</f>
        <v/>
      </c>
      <c r="W789" t="str">
        <f t="shared" si="125"/>
        <v/>
      </c>
      <c r="X789" t="str">
        <f t="shared" si="126"/>
        <v/>
      </c>
      <c r="Y789" t="str">
        <f>IF(C789="","",IF(InventoryTable[[#This Row],[Stock Balance]]&lt;=0,"Sold Out",IF((InventoryTable[[#This Row],[Stock Balance]]/InventoryTable[[#This Row],[Total Pieces]])&lt;=0.25,"Low on Stocks","Available")))</f>
        <v/>
      </c>
    </row>
    <row r="790" spans="1:25" x14ac:dyDescent="0.3">
      <c r="A790" t="str">
        <f>IF(C790="","",_xlfn.CONCAT(LEFT(InventoryTable[[#This Row],[Category]],1),InventoryTable[[#This Row],[Product Pricing Type]],ROW()))</f>
        <v/>
      </c>
      <c r="H790" t="str">
        <f t="shared" si="117"/>
        <v/>
      </c>
      <c r="K790" t="str">
        <f t="shared" si="118"/>
        <v/>
      </c>
      <c r="N790" t="str">
        <f t="shared" si="119"/>
        <v/>
      </c>
      <c r="P790" t="str">
        <f t="shared" si="120"/>
        <v/>
      </c>
      <c r="Q790" s="4" t="str">
        <f t="shared" si="121"/>
        <v/>
      </c>
      <c r="R790" t="str">
        <f t="shared" si="122"/>
        <v/>
      </c>
      <c r="S790" t="str">
        <f t="shared" si="123"/>
        <v/>
      </c>
      <c r="T790" t="str">
        <f>IF(C790="","",InventoryTable[[#This Row],[Profit per Unit]]*InventoryTable[[#This Row],[Total Pieces]])</f>
        <v/>
      </c>
      <c r="U790" t="str">
        <f t="shared" si="124"/>
        <v/>
      </c>
      <c r="V790" t="str">
        <f>IF(C790="","",H790-InventoryTable[[#This Row],[Units Sold]])</f>
        <v/>
      </c>
      <c r="W790" t="str">
        <f t="shared" si="125"/>
        <v/>
      </c>
      <c r="X790" t="str">
        <f t="shared" si="126"/>
        <v/>
      </c>
      <c r="Y790" t="str">
        <f>IF(C790="","",IF(InventoryTable[[#This Row],[Stock Balance]]&lt;=0,"Sold Out",IF((InventoryTable[[#This Row],[Stock Balance]]/InventoryTable[[#This Row],[Total Pieces]])&lt;=0.25,"Low on Stocks","Available")))</f>
        <v/>
      </c>
    </row>
    <row r="791" spans="1:25" x14ac:dyDescent="0.3">
      <c r="A791" t="str">
        <f>IF(C791="","",_xlfn.CONCAT(LEFT(InventoryTable[[#This Row],[Category]],1),InventoryTable[[#This Row],[Product Pricing Type]],ROW()))</f>
        <v/>
      </c>
      <c r="H791" t="str">
        <f t="shared" si="117"/>
        <v/>
      </c>
      <c r="K791" t="str">
        <f t="shared" si="118"/>
        <v/>
      </c>
      <c r="N791" t="str">
        <f t="shared" si="119"/>
        <v/>
      </c>
      <c r="P791" t="str">
        <f t="shared" si="120"/>
        <v/>
      </c>
      <c r="Q791" s="4" t="str">
        <f t="shared" si="121"/>
        <v/>
      </c>
      <c r="R791" t="str">
        <f t="shared" si="122"/>
        <v/>
      </c>
      <c r="S791" t="str">
        <f t="shared" si="123"/>
        <v/>
      </c>
      <c r="T791" t="str">
        <f>IF(C791="","",InventoryTable[[#This Row],[Profit per Unit]]*InventoryTable[[#This Row],[Total Pieces]])</f>
        <v/>
      </c>
      <c r="U791" t="str">
        <f t="shared" si="124"/>
        <v/>
      </c>
      <c r="V791" t="str">
        <f>IF(C791="","",H791-InventoryTable[[#This Row],[Units Sold]])</f>
        <v/>
      </c>
      <c r="W791" t="str">
        <f t="shared" si="125"/>
        <v/>
      </c>
      <c r="X791" t="str">
        <f t="shared" si="126"/>
        <v/>
      </c>
      <c r="Y791" t="str">
        <f>IF(C791="","",IF(InventoryTable[[#This Row],[Stock Balance]]&lt;=0,"Sold Out",IF((InventoryTable[[#This Row],[Stock Balance]]/InventoryTable[[#This Row],[Total Pieces]])&lt;=0.25,"Low on Stocks","Available")))</f>
        <v/>
      </c>
    </row>
    <row r="792" spans="1:25" x14ac:dyDescent="0.3">
      <c r="A792" t="str">
        <f>IF(C792="","",_xlfn.CONCAT(LEFT(InventoryTable[[#This Row],[Category]],1),InventoryTable[[#This Row],[Product Pricing Type]],ROW()))</f>
        <v/>
      </c>
      <c r="H792" t="str">
        <f t="shared" si="117"/>
        <v/>
      </c>
      <c r="K792" t="str">
        <f t="shared" si="118"/>
        <v/>
      </c>
      <c r="N792" t="str">
        <f t="shared" si="119"/>
        <v/>
      </c>
      <c r="P792" t="str">
        <f t="shared" si="120"/>
        <v/>
      </c>
      <c r="Q792" s="4" t="str">
        <f t="shared" si="121"/>
        <v/>
      </c>
      <c r="R792" t="str">
        <f t="shared" si="122"/>
        <v/>
      </c>
      <c r="S792" t="str">
        <f t="shared" si="123"/>
        <v/>
      </c>
      <c r="T792" t="str">
        <f>IF(C792="","",InventoryTable[[#This Row],[Profit per Unit]]*InventoryTable[[#This Row],[Total Pieces]])</f>
        <v/>
      </c>
      <c r="U792" t="str">
        <f t="shared" si="124"/>
        <v/>
      </c>
      <c r="V792" t="str">
        <f>IF(C792="","",H792-InventoryTable[[#This Row],[Units Sold]])</f>
        <v/>
      </c>
      <c r="W792" t="str">
        <f t="shared" si="125"/>
        <v/>
      </c>
      <c r="X792" t="str">
        <f t="shared" si="126"/>
        <v/>
      </c>
      <c r="Y792" t="str">
        <f>IF(C792="","",IF(InventoryTable[[#This Row],[Stock Balance]]&lt;=0,"Sold Out",IF((InventoryTable[[#This Row],[Stock Balance]]/InventoryTable[[#This Row],[Total Pieces]])&lt;=0.25,"Low on Stocks","Available")))</f>
        <v/>
      </c>
    </row>
    <row r="793" spans="1:25" x14ac:dyDescent="0.3">
      <c r="A793" t="str">
        <f>IF(C793="","",_xlfn.CONCAT(LEFT(InventoryTable[[#This Row],[Category]],1),InventoryTable[[#This Row],[Product Pricing Type]],ROW()))</f>
        <v/>
      </c>
      <c r="H793" t="str">
        <f t="shared" si="117"/>
        <v/>
      </c>
      <c r="K793" t="str">
        <f t="shared" si="118"/>
        <v/>
      </c>
      <c r="N793" t="str">
        <f t="shared" si="119"/>
        <v/>
      </c>
      <c r="P793" t="str">
        <f t="shared" si="120"/>
        <v/>
      </c>
      <c r="Q793" s="4" t="str">
        <f t="shared" si="121"/>
        <v/>
      </c>
      <c r="R793" t="str">
        <f t="shared" si="122"/>
        <v/>
      </c>
      <c r="S793" t="str">
        <f t="shared" si="123"/>
        <v/>
      </c>
      <c r="T793" t="str">
        <f>IF(C793="","",InventoryTable[[#This Row],[Profit per Unit]]*InventoryTable[[#This Row],[Total Pieces]])</f>
        <v/>
      </c>
      <c r="U793" t="str">
        <f t="shared" si="124"/>
        <v/>
      </c>
      <c r="V793" t="str">
        <f>IF(C793="","",H793-InventoryTable[[#This Row],[Units Sold]])</f>
        <v/>
      </c>
      <c r="W793" t="str">
        <f t="shared" si="125"/>
        <v/>
      </c>
      <c r="X793" t="str">
        <f t="shared" si="126"/>
        <v/>
      </c>
      <c r="Y793" t="str">
        <f>IF(C793="","",IF(InventoryTable[[#This Row],[Stock Balance]]&lt;=0,"Sold Out",IF((InventoryTable[[#This Row],[Stock Balance]]/InventoryTable[[#This Row],[Total Pieces]])&lt;=0.25,"Low on Stocks","Available")))</f>
        <v/>
      </c>
    </row>
    <row r="794" spans="1:25" x14ac:dyDescent="0.3">
      <c r="A794" t="str">
        <f>IF(C794="","",_xlfn.CONCAT(LEFT(InventoryTable[[#This Row],[Category]],1),InventoryTable[[#This Row],[Product Pricing Type]],ROW()))</f>
        <v/>
      </c>
      <c r="H794" t="str">
        <f t="shared" si="117"/>
        <v/>
      </c>
      <c r="K794" t="str">
        <f t="shared" si="118"/>
        <v/>
      </c>
      <c r="N794" t="str">
        <f t="shared" si="119"/>
        <v/>
      </c>
      <c r="P794" t="str">
        <f t="shared" si="120"/>
        <v/>
      </c>
      <c r="Q794" s="4" t="str">
        <f t="shared" si="121"/>
        <v/>
      </c>
      <c r="R794" t="str">
        <f t="shared" si="122"/>
        <v/>
      </c>
      <c r="S794" t="str">
        <f t="shared" si="123"/>
        <v/>
      </c>
      <c r="T794" t="str">
        <f>IF(C794="","",InventoryTable[[#This Row],[Profit per Unit]]*InventoryTable[[#This Row],[Total Pieces]])</f>
        <v/>
      </c>
      <c r="U794" t="str">
        <f t="shared" si="124"/>
        <v/>
      </c>
      <c r="V794" t="str">
        <f>IF(C794="","",H794-InventoryTable[[#This Row],[Units Sold]])</f>
        <v/>
      </c>
      <c r="W794" t="str">
        <f t="shared" si="125"/>
        <v/>
      </c>
      <c r="X794" t="str">
        <f t="shared" si="126"/>
        <v/>
      </c>
      <c r="Y794" t="str">
        <f>IF(C794="","",IF(InventoryTable[[#This Row],[Stock Balance]]&lt;=0,"Sold Out",IF((InventoryTable[[#This Row],[Stock Balance]]/InventoryTable[[#This Row],[Total Pieces]])&lt;=0.25,"Low on Stocks","Available")))</f>
        <v/>
      </c>
    </row>
    <row r="795" spans="1:25" x14ac:dyDescent="0.3">
      <c r="A795" t="str">
        <f>IF(C795="","",_xlfn.CONCAT(LEFT(InventoryTable[[#This Row],[Category]],1),InventoryTable[[#This Row],[Product Pricing Type]],ROW()))</f>
        <v/>
      </c>
      <c r="H795" t="str">
        <f t="shared" si="117"/>
        <v/>
      </c>
      <c r="K795" t="str">
        <f t="shared" si="118"/>
        <v/>
      </c>
      <c r="N795" t="str">
        <f t="shared" si="119"/>
        <v/>
      </c>
      <c r="P795" t="str">
        <f t="shared" si="120"/>
        <v/>
      </c>
      <c r="Q795" s="4" t="str">
        <f t="shared" si="121"/>
        <v/>
      </c>
      <c r="R795" t="str">
        <f t="shared" si="122"/>
        <v/>
      </c>
      <c r="S795" t="str">
        <f t="shared" si="123"/>
        <v/>
      </c>
      <c r="T795" t="str">
        <f>IF(C795="","",InventoryTable[[#This Row],[Profit per Unit]]*InventoryTable[[#This Row],[Total Pieces]])</f>
        <v/>
      </c>
      <c r="U795" t="str">
        <f t="shared" si="124"/>
        <v/>
      </c>
      <c r="V795" t="str">
        <f>IF(C795="","",H795-InventoryTable[[#This Row],[Units Sold]])</f>
        <v/>
      </c>
      <c r="W795" t="str">
        <f t="shared" si="125"/>
        <v/>
      </c>
      <c r="X795" t="str">
        <f t="shared" si="126"/>
        <v/>
      </c>
      <c r="Y795" t="str">
        <f>IF(C795="","",IF(InventoryTable[[#This Row],[Stock Balance]]&lt;=0,"Sold Out",IF((InventoryTable[[#This Row],[Stock Balance]]/InventoryTable[[#This Row],[Total Pieces]])&lt;=0.25,"Low on Stocks","Available")))</f>
        <v/>
      </c>
    </row>
    <row r="796" spans="1:25" x14ac:dyDescent="0.3">
      <c r="A796" t="str">
        <f>IF(C796="","",_xlfn.CONCAT(LEFT(InventoryTable[[#This Row],[Category]],1),InventoryTable[[#This Row],[Product Pricing Type]],ROW()))</f>
        <v/>
      </c>
      <c r="H796" t="str">
        <f t="shared" si="117"/>
        <v/>
      </c>
      <c r="K796" t="str">
        <f t="shared" si="118"/>
        <v/>
      </c>
      <c r="N796" t="str">
        <f t="shared" si="119"/>
        <v/>
      </c>
      <c r="P796" t="str">
        <f t="shared" si="120"/>
        <v/>
      </c>
      <c r="Q796" s="4" t="str">
        <f t="shared" si="121"/>
        <v/>
      </c>
      <c r="R796" t="str">
        <f t="shared" si="122"/>
        <v/>
      </c>
      <c r="S796" t="str">
        <f t="shared" si="123"/>
        <v/>
      </c>
      <c r="T796" t="str">
        <f>IF(C796="","",InventoryTable[[#This Row],[Profit per Unit]]*InventoryTable[[#This Row],[Total Pieces]])</f>
        <v/>
      </c>
      <c r="U796" t="str">
        <f t="shared" si="124"/>
        <v/>
      </c>
      <c r="V796" t="str">
        <f>IF(C796="","",H796-InventoryTable[[#This Row],[Units Sold]])</f>
        <v/>
      </c>
      <c r="W796" t="str">
        <f t="shared" si="125"/>
        <v/>
      </c>
      <c r="X796" t="str">
        <f t="shared" si="126"/>
        <v/>
      </c>
      <c r="Y796" t="str">
        <f>IF(C796="","",IF(InventoryTable[[#This Row],[Stock Balance]]&lt;=0,"Sold Out",IF((InventoryTable[[#This Row],[Stock Balance]]/InventoryTable[[#This Row],[Total Pieces]])&lt;=0.25,"Low on Stocks","Available")))</f>
        <v/>
      </c>
    </row>
    <row r="797" spans="1:25" x14ac:dyDescent="0.3">
      <c r="A797" t="str">
        <f>IF(C797="","",_xlfn.CONCAT(LEFT(InventoryTable[[#This Row],[Category]],1),InventoryTable[[#This Row],[Product Pricing Type]],ROW()))</f>
        <v/>
      </c>
      <c r="H797" t="str">
        <f t="shared" si="117"/>
        <v/>
      </c>
      <c r="K797" t="str">
        <f t="shared" si="118"/>
        <v/>
      </c>
      <c r="N797" t="str">
        <f t="shared" si="119"/>
        <v/>
      </c>
      <c r="P797" t="str">
        <f t="shared" si="120"/>
        <v/>
      </c>
      <c r="Q797" s="4" t="str">
        <f t="shared" si="121"/>
        <v/>
      </c>
      <c r="R797" t="str">
        <f t="shared" si="122"/>
        <v/>
      </c>
      <c r="S797" t="str">
        <f t="shared" si="123"/>
        <v/>
      </c>
      <c r="T797" t="str">
        <f>IF(C797="","",InventoryTable[[#This Row],[Profit per Unit]]*InventoryTable[[#This Row],[Total Pieces]])</f>
        <v/>
      </c>
      <c r="U797" t="str">
        <f t="shared" si="124"/>
        <v/>
      </c>
      <c r="V797" t="str">
        <f>IF(C797="","",H797-InventoryTable[[#This Row],[Units Sold]])</f>
        <v/>
      </c>
      <c r="W797" t="str">
        <f t="shared" si="125"/>
        <v/>
      </c>
      <c r="X797" t="str">
        <f t="shared" si="126"/>
        <v/>
      </c>
      <c r="Y797" t="str">
        <f>IF(C797="","",IF(InventoryTable[[#This Row],[Stock Balance]]&lt;=0,"Sold Out",IF((InventoryTable[[#This Row],[Stock Balance]]/InventoryTable[[#This Row],[Total Pieces]])&lt;=0.25,"Low on Stocks","Available")))</f>
        <v/>
      </c>
    </row>
    <row r="798" spans="1:25" x14ac:dyDescent="0.3">
      <c r="A798" t="str">
        <f>IF(C798="","",_xlfn.CONCAT(LEFT(InventoryTable[[#This Row],[Category]],1),InventoryTable[[#This Row],[Product Pricing Type]],ROW()))</f>
        <v/>
      </c>
      <c r="H798" t="str">
        <f t="shared" si="117"/>
        <v/>
      </c>
      <c r="K798" t="str">
        <f t="shared" si="118"/>
        <v/>
      </c>
      <c r="N798" t="str">
        <f t="shared" si="119"/>
        <v/>
      </c>
      <c r="P798" t="str">
        <f t="shared" si="120"/>
        <v/>
      </c>
      <c r="Q798" s="4" t="str">
        <f t="shared" si="121"/>
        <v/>
      </c>
      <c r="R798" t="str">
        <f t="shared" si="122"/>
        <v/>
      </c>
      <c r="S798" t="str">
        <f t="shared" si="123"/>
        <v/>
      </c>
      <c r="T798" t="str">
        <f>IF(C798="","",InventoryTable[[#This Row],[Profit per Unit]]*InventoryTable[[#This Row],[Total Pieces]])</f>
        <v/>
      </c>
      <c r="U798" t="str">
        <f t="shared" si="124"/>
        <v/>
      </c>
      <c r="V798" t="str">
        <f>IF(C798="","",H798-InventoryTable[[#This Row],[Units Sold]])</f>
        <v/>
      </c>
      <c r="W798" t="str">
        <f t="shared" si="125"/>
        <v/>
      </c>
      <c r="X798" t="str">
        <f t="shared" si="126"/>
        <v/>
      </c>
      <c r="Y798" t="str">
        <f>IF(C798="","",IF(InventoryTable[[#This Row],[Stock Balance]]&lt;=0,"Sold Out",IF((InventoryTable[[#This Row],[Stock Balance]]/InventoryTable[[#This Row],[Total Pieces]])&lt;=0.25,"Low on Stocks","Available")))</f>
        <v/>
      </c>
    </row>
    <row r="799" spans="1:25" x14ac:dyDescent="0.3">
      <c r="A799" t="str">
        <f>IF(C799="","",_xlfn.CONCAT(LEFT(InventoryTable[[#This Row],[Category]],1),InventoryTable[[#This Row],[Product Pricing Type]],ROW()))</f>
        <v/>
      </c>
      <c r="H799" t="str">
        <f t="shared" si="117"/>
        <v/>
      </c>
      <c r="K799" t="str">
        <f t="shared" si="118"/>
        <v/>
      </c>
      <c r="N799" t="str">
        <f t="shared" si="119"/>
        <v/>
      </c>
      <c r="P799" t="str">
        <f t="shared" si="120"/>
        <v/>
      </c>
      <c r="Q799" s="4" t="str">
        <f t="shared" si="121"/>
        <v/>
      </c>
      <c r="R799" t="str">
        <f t="shared" si="122"/>
        <v/>
      </c>
      <c r="S799" t="str">
        <f t="shared" si="123"/>
        <v/>
      </c>
      <c r="T799" t="str">
        <f>IF(C799="","",InventoryTable[[#This Row],[Profit per Unit]]*InventoryTable[[#This Row],[Total Pieces]])</f>
        <v/>
      </c>
      <c r="U799" t="str">
        <f t="shared" si="124"/>
        <v/>
      </c>
      <c r="V799" t="str">
        <f>IF(C799="","",H799-InventoryTable[[#This Row],[Units Sold]])</f>
        <v/>
      </c>
      <c r="W799" t="str">
        <f t="shared" si="125"/>
        <v/>
      </c>
      <c r="X799" t="str">
        <f t="shared" si="126"/>
        <v/>
      </c>
      <c r="Y799" t="str">
        <f>IF(C799="","",IF(InventoryTable[[#This Row],[Stock Balance]]&lt;=0,"Sold Out",IF((InventoryTable[[#This Row],[Stock Balance]]/InventoryTable[[#This Row],[Total Pieces]])&lt;=0.25,"Low on Stocks","Available")))</f>
        <v/>
      </c>
    </row>
    <row r="800" spans="1:25" x14ac:dyDescent="0.3">
      <c r="A800" t="str">
        <f>IF(C800="","",_xlfn.CONCAT(LEFT(InventoryTable[[#This Row],[Category]],1),InventoryTable[[#This Row],[Product Pricing Type]],ROW()))</f>
        <v/>
      </c>
      <c r="H800" t="str">
        <f t="shared" si="117"/>
        <v/>
      </c>
      <c r="K800" t="str">
        <f t="shared" si="118"/>
        <v/>
      </c>
      <c r="N800" t="str">
        <f t="shared" si="119"/>
        <v/>
      </c>
      <c r="P800" t="str">
        <f t="shared" si="120"/>
        <v/>
      </c>
      <c r="Q800" s="4" t="str">
        <f t="shared" si="121"/>
        <v/>
      </c>
      <c r="R800" t="str">
        <f t="shared" si="122"/>
        <v/>
      </c>
      <c r="S800" t="str">
        <f t="shared" si="123"/>
        <v/>
      </c>
      <c r="T800" t="str">
        <f>IF(C800="","",InventoryTable[[#This Row],[Profit per Unit]]*InventoryTable[[#This Row],[Total Pieces]])</f>
        <v/>
      </c>
      <c r="U800" t="str">
        <f t="shared" si="124"/>
        <v/>
      </c>
      <c r="V800" t="str">
        <f>IF(C800="","",H800-InventoryTable[[#This Row],[Units Sold]])</f>
        <v/>
      </c>
      <c r="W800" t="str">
        <f t="shared" si="125"/>
        <v/>
      </c>
      <c r="X800" t="str">
        <f t="shared" si="126"/>
        <v/>
      </c>
      <c r="Y800" t="str">
        <f>IF(C800="","",IF(InventoryTable[[#This Row],[Stock Balance]]&lt;=0,"Sold Out",IF((InventoryTable[[#This Row],[Stock Balance]]/InventoryTable[[#This Row],[Total Pieces]])&lt;=0.25,"Low on Stocks","Available")))</f>
        <v/>
      </c>
    </row>
    <row r="801" spans="1:25" x14ac:dyDescent="0.3">
      <c r="A801" t="str">
        <f>IF(C801="","",_xlfn.CONCAT(LEFT(InventoryTable[[#This Row],[Category]],1),InventoryTable[[#This Row],[Product Pricing Type]],ROW()))</f>
        <v/>
      </c>
      <c r="H801" t="str">
        <f t="shared" ref="H801:H864" si="127">IF(C801="","",G801*F801)</f>
        <v/>
      </c>
      <c r="K801" t="str">
        <f t="shared" ref="K801:K864" si="128">IF(C801="","",IF(J801=1,I801/H801,I801*G801*F801))</f>
        <v/>
      </c>
      <c r="N801" t="str">
        <f t="shared" ref="N801:N864" si="129">IF(C801="","",IF(J801=1,K801+(K801*M801),I801+(I801*M801)))</f>
        <v/>
      </c>
      <c r="P801" t="str">
        <f t="shared" ref="P801:P864" si="130">IF(C801="","",N801+(N801*O801))</f>
        <v/>
      </c>
      <c r="Q801" s="4" t="str">
        <f t="shared" ref="Q801:Q864" si="131">IF(C801="","",ROUNDUP(P801,0))</f>
        <v/>
      </c>
      <c r="R801" t="str">
        <f t="shared" ref="R801:R864" si="132">IF(C801="","")</f>
        <v/>
      </c>
      <c r="S801" t="str">
        <f t="shared" ref="S801:S864" si="133">IF(C801="","",IF(COUNTIF(C801,"*Fixed*")&gt;0,(K801-R801)/H801,IF(J801=1,Q801-K801,Q801-I801)))</f>
        <v/>
      </c>
      <c r="T801" t="str">
        <f>IF(C801="","",InventoryTable[[#This Row],[Profit per Unit]]*InventoryTable[[#This Row],[Total Pieces]])</f>
        <v/>
      </c>
      <c r="U801" t="str">
        <f t="shared" si="124"/>
        <v/>
      </c>
      <c r="V801" t="str">
        <f>IF(C801="","",H801-InventoryTable[[#This Row],[Units Sold]])</f>
        <v/>
      </c>
      <c r="W801" t="str">
        <f t="shared" si="125"/>
        <v/>
      </c>
      <c r="X801" t="str">
        <f t="shared" si="126"/>
        <v/>
      </c>
      <c r="Y801" t="str">
        <f>IF(C801="","",IF(InventoryTable[[#This Row],[Stock Balance]]&lt;=0,"Sold Out",IF((InventoryTable[[#This Row],[Stock Balance]]/InventoryTable[[#This Row],[Total Pieces]])&lt;=0.25,"Low on Stocks","Available")))</f>
        <v/>
      </c>
    </row>
    <row r="802" spans="1:25" x14ac:dyDescent="0.3">
      <c r="A802" t="str">
        <f>IF(C802="","",_xlfn.CONCAT(LEFT(InventoryTable[[#This Row],[Category]],1),InventoryTable[[#This Row],[Product Pricing Type]],ROW()))</f>
        <v/>
      </c>
      <c r="H802" t="str">
        <f t="shared" si="127"/>
        <v/>
      </c>
      <c r="K802" t="str">
        <f t="shared" si="128"/>
        <v/>
      </c>
      <c r="N802" t="str">
        <f t="shared" si="129"/>
        <v/>
      </c>
      <c r="P802" t="str">
        <f t="shared" si="130"/>
        <v/>
      </c>
      <c r="Q802" s="4" t="str">
        <f t="shared" si="131"/>
        <v/>
      </c>
      <c r="R802" t="str">
        <f t="shared" si="132"/>
        <v/>
      </c>
      <c r="S802" t="str">
        <f t="shared" si="133"/>
        <v/>
      </c>
      <c r="T802" t="str">
        <f>IF(C802="","",InventoryTable[[#This Row],[Profit per Unit]]*InventoryTable[[#This Row],[Total Pieces]])</f>
        <v/>
      </c>
      <c r="U802" t="str">
        <f t="shared" si="124"/>
        <v/>
      </c>
      <c r="V802" t="str">
        <f>IF(C802="","",H802-InventoryTable[[#This Row],[Units Sold]])</f>
        <v/>
      </c>
      <c r="W802" t="str">
        <f t="shared" si="125"/>
        <v/>
      </c>
      <c r="X802" t="str">
        <f t="shared" si="126"/>
        <v/>
      </c>
      <c r="Y802" t="str">
        <f>IF(C802="","",IF(InventoryTable[[#This Row],[Stock Balance]]&lt;=0,"Sold Out",IF((InventoryTable[[#This Row],[Stock Balance]]/InventoryTable[[#This Row],[Total Pieces]])&lt;=0.25,"Low on Stocks","Available")))</f>
        <v/>
      </c>
    </row>
    <row r="803" spans="1:25" x14ac:dyDescent="0.3">
      <c r="A803" t="str">
        <f>IF(C803="","",_xlfn.CONCAT(LEFT(InventoryTable[[#This Row],[Category]],1),InventoryTable[[#This Row],[Product Pricing Type]],ROW()))</f>
        <v/>
      </c>
      <c r="H803" t="str">
        <f t="shared" si="127"/>
        <v/>
      </c>
      <c r="K803" t="str">
        <f t="shared" si="128"/>
        <v/>
      </c>
      <c r="N803" t="str">
        <f t="shared" si="129"/>
        <v/>
      </c>
      <c r="P803" t="str">
        <f t="shared" si="130"/>
        <v/>
      </c>
      <c r="Q803" s="4" t="str">
        <f t="shared" si="131"/>
        <v/>
      </c>
      <c r="R803" t="str">
        <f t="shared" si="132"/>
        <v/>
      </c>
      <c r="S803" t="str">
        <f t="shared" si="133"/>
        <v/>
      </c>
      <c r="T803" t="str">
        <f>IF(C803="","",InventoryTable[[#This Row],[Profit per Unit]]*InventoryTable[[#This Row],[Total Pieces]])</f>
        <v/>
      </c>
      <c r="U803" t="str">
        <f t="shared" si="124"/>
        <v/>
      </c>
      <c r="V803" t="str">
        <f>IF(C803="","",H803-InventoryTable[[#This Row],[Units Sold]])</f>
        <v/>
      </c>
      <c r="W803" t="str">
        <f t="shared" si="125"/>
        <v/>
      </c>
      <c r="X803" t="str">
        <f t="shared" si="126"/>
        <v/>
      </c>
      <c r="Y803" t="str">
        <f>IF(C803="","",IF(InventoryTable[[#This Row],[Stock Balance]]&lt;=0,"Sold Out",IF((InventoryTable[[#This Row],[Stock Balance]]/InventoryTable[[#This Row],[Total Pieces]])&lt;=0.25,"Low on Stocks","Available")))</f>
        <v/>
      </c>
    </row>
    <row r="804" spans="1:25" x14ac:dyDescent="0.3">
      <c r="A804" t="str">
        <f>IF(C804="","",_xlfn.CONCAT(LEFT(InventoryTable[[#This Row],[Category]],1),InventoryTable[[#This Row],[Product Pricing Type]],ROW()))</f>
        <v/>
      </c>
      <c r="H804" t="str">
        <f t="shared" si="127"/>
        <v/>
      </c>
      <c r="K804" t="str">
        <f t="shared" si="128"/>
        <v/>
      </c>
      <c r="N804" t="str">
        <f t="shared" si="129"/>
        <v/>
      </c>
      <c r="P804" t="str">
        <f t="shared" si="130"/>
        <v/>
      </c>
      <c r="Q804" s="4" t="str">
        <f t="shared" si="131"/>
        <v/>
      </c>
      <c r="R804" t="str">
        <f t="shared" si="132"/>
        <v/>
      </c>
      <c r="S804" t="str">
        <f t="shared" si="133"/>
        <v/>
      </c>
      <c r="T804" t="str">
        <f>IF(C804="","",InventoryTable[[#This Row],[Profit per Unit]]*InventoryTable[[#This Row],[Total Pieces]])</f>
        <v/>
      </c>
      <c r="U804" t="str">
        <f t="shared" si="124"/>
        <v/>
      </c>
      <c r="V804" t="str">
        <f>IF(C804="","",H804-InventoryTable[[#This Row],[Units Sold]])</f>
        <v/>
      </c>
      <c r="W804" t="str">
        <f t="shared" si="125"/>
        <v/>
      </c>
      <c r="X804" t="str">
        <f t="shared" si="126"/>
        <v/>
      </c>
      <c r="Y804" t="str">
        <f>IF(C804="","",IF(InventoryTable[[#This Row],[Stock Balance]]&lt;=0,"Sold Out",IF((InventoryTable[[#This Row],[Stock Balance]]/InventoryTable[[#This Row],[Total Pieces]])&lt;=0.25,"Low on Stocks","Available")))</f>
        <v/>
      </c>
    </row>
    <row r="805" spans="1:25" x14ac:dyDescent="0.3">
      <c r="A805" t="str">
        <f>IF(C805="","",_xlfn.CONCAT(LEFT(InventoryTable[[#This Row],[Category]],1),InventoryTable[[#This Row],[Product Pricing Type]],ROW()))</f>
        <v/>
      </c>
      <c r="H805" t="str">
        <f t="shared" si="127"/>
        <v/>
      </c>
      <c r="K805" t="str">
        <f t="shared" si="128"/>
        <v/>
      </c>
      <c r="N805" t="str">
        <f t="shared" si="129"/>
        <v/>
      </c>
      <c r="P805" t="str">
        <f t="shared" si="130"/>
        <v/>
      </c>
      <c r="Q805" s="4" t="str">
        <f t="shared" si="131"/>
        <v/>
      </c>
      <c r="R805" t="str">
        <f t="shared" si="132"/>
        <v/>
      </c>
      <c r="S805" t="str">
        <f t="shared" si="133"/>
        <v/>
      </c>
      <c r="T805" t="str">
        <f>IF(C805="","",InventoryTable[[#This Row],[Profit per Unit]]*InventoryTable[[#This Row],[Total Pieces]])</f>
        <v/>
      </c>
      <c r="U805" t="str">
        <f t="shared" si="124"/>
        <v/>
      </c>
      <c r="V805" t="str">
        <f>IF(C805="","",H805-InventoryTable[[#This Row],[Units Sold]])</f>
        <v/>
      </c>
      <c r="W805" t="str">
        <f t="shared" si="125"/>
        <v/>
      </c>
      <c r="X805" t="str">
        <f t="shared" si="126"/>
        <v/>
      </c>
      <c r="Y805" t="str">
        <f>IF(C805="","",IF(InventoryTable[[#This Row],[Stock Balance]]&lt;=0,"Sold Out",IF((InventoryTable[[#This Row],[Stock Balance]]/InventoryTable[[#This Row],[Total Pieces]])&lt;=0.25,"Low on Stocks","Available")))</f>
        <v/>
      </c>
    </row>
    <row r="806" spans="1:25" x14ac:dyDescent="0.3">
      <c r="A806" t="str">
        <f>IF(C806="","",_xlfn.CONCAT(LEFT(InventoryTable[[#This Row],[Category]],1),InventoryTable[[#This Row],[Product Pricing Type]],ROW()))</f>
        <v/>
      </c>
      <c r="H806" t="str">
        <f t="shared" si="127"/>
        <v/>
      </c>
      <c r="K806" t="str">
        <f t="shared" si="128"/>
        <v/>
      </c>
      <c r="N806" t="str">
        <f t="shared" si="129"/>
        <v/>
      </c>
      <c r="P806" t="str">
        <f t="shared" si="130"/>
        <v/>
      </c>
      <c r="Q806" s="4" t="str">
        <f t="shared" si="131"/>
        <v/>
      </c>
      <c r="R806" t="str">
        <f t="shared" si="132"/>
        <v/>
      </c>
      <c r="S806" t="str">
        <f t="shared" si="133"/>
        <v/>
      </c>
      <c r="T806" t="str">
        <f>IF(C806="","",InventoryTable[[#This Row],[Profit per Unit]]*InventoryTable[[#This Row],[Total Pieces]])</f>
        <v/>
      </c>
      <c r="U806" t="str">
        <f t="shared" si="124"/>
        <v/>
      </c>
      <c r="V806" t="str">
        <f>IF(C806="","",H806-InventoryTable[[#This Row],[Units Sold]])</f>
        <v/>
      </c>
      <c r="W806" t="str">
        <f t="shared" si="125"/>
        <v/>
      </c>
      <c r="X806" t="str">
        <f t="shared" si="126"/>
        <v/>
      </c>
      <c r="Y806" t="str">
        <f>IF(C806="","",IF(InventoryTable[[#This Row],[Stock Balance]]&lt;=0,"Sold Out",IF((InventoryTable[[#This Row],[Stock Balance]]/InventoryTable[[#This Row],[Total Pieces]])&lt;=0.25,"Low on Stocks","Available")))</f>
        <v/>
      </c>
    </row>
    <row r="807" spans="1:25" x14ac:dyDescent="0.3">
      <c r="A807" t="str">
        <f>IF(C807="","",_xlfn.CONCAT(LEFT(InventoryTable[[#This Row],[Category]],1),InventoryTable[[#This Row],[Product Pricing Type]],ROW()))</f>
        <v/>
      </c>
      <c r="H807" t="str">
        <f t="shared" si="127"/>
        <v/>
      </c>
      <c r="K807" t="str">
        <f t="shared" si="128"/>
        <v/>
      </c>
      <c r="N807" t="str">
        <f t="shared" si="129"/>
        <v/>
      </c>
      <c r="P807" t="str">
        <f t="shared" si="130"/>
        <v/>
      </c>
      <c r="Q807" s="4" t="str">
        <f t="shared" si="131"/>
        <v/>
      </c>
      <c r="R807" t="str">
        <f t="shared" si="132"/>
        <v/>
      </c>
      <c r="S807" t="str">
        <f t="shared" si="133"/>
        <v/>
      </c>
      <c r="T807" t="str">
        <f>IF(C807="","",InventoryTable[[#This Row],[Profit per Unit]]*InventoryTable[[#This Row],[Total Pieces]])</f>
        <v/>
      </c>
      <c r="U807" t="str">
        <f t="shared" si="124"/>
        <v/>
      </c>
      <c r="V807" t="str">
        <f>IF(C807="","",H807-InventoryTable[[#This Row],[Units Sold]])</f>
        <v/>
      </c>
      <c r="W807" t="str">
        <f t="shared" si="125"/>
        <v/>
      </c>
      <c r="X807" t="str">
        <f t="shared" si="126"/>
        <v/>
      </c>
      <c r="Y807" t="str">
        <f>IF(C807="","",IF(InventoryTable[[#This Row],[Stock Balance]]&lt;=0,"Sold Out",IF((InventoryTable[[#This Row],[Stock Balance]]/InventoryTable[[#This Row],[Total Pieces]])&lt;=0.25,"Low on Stocks","Available")))</f>
        <v/>
      </c>
    </row>
    <row r="808" spans="1:25" x14ac:dyDescent="0.3">
      <c r="A808" t="str">
        <f>IF(C808="","",_xlfn.CONCAT(LEFT(InventoryTable[[#This Row],[Category]],1),InventoryTable[[#This Row],[Product Pricing Type]],ROW()))</f>
        <v/>
      </c>
      <c r="H808" t="str">
        <f t="shared" si="127"/>
        <v/>
      </c>
      <c r="K808" t="str">
        <f t="shared" si="128"/>
        <v/>
      </c>
      <c r="N808" t="str">
        <f t="shared" si="129"/>
        <v/>
      </c>
      <c r="P808" t="str">
        <f t="shared" si="130"/>
        <v/>
      </c>
      <c r="Q808" s="4" t="str">
        <f t="shared" si="131"/>
        <v/>
      </c>
      <c r="R808" t="str">
        <f t="shared" si="132"/>
        <v/>
      </c>
      <c r="S808" t="str">
        <f t="shared" si="133"/>
        <v/>
      </c>
      <c r="T808" t="str">
        <f>IF(C808="","",InventoryTable[[#This Row],[Profit per Unit]]*InventoryTable[[#This Row],[Total Pieces]])</f>
        <v/>
      </c>
      <c r="U808" t="str">
        <f t="shared" si="124"/>
        <v/>
      </c>
      <c r="V808" t="str">
        <f>IF(C808="","",H808-InventoryTable[[#This Row],[Units Sold]])</f>
        <v/>
      </c>
      <c r="W808" t="str">
        <f t="shared" si="125"/>
        <v/>
      </c>
      <c r="X808" t="str">
        <f t="shared" si="126"/>
        <v/>
      </c>
      <c r="Y808" t="str">
        <f>IF(C808="","",IF(InventoryTable[[#This Row],[Stock Balance]]&lt;=0,"Sold Out",IF((InventoryTable[[#This Row],[Stock Balance]]/InventoryTable[[#This Row],[Total Pieces]])&lt;=0.25,"Low on Stocks","Available")))</f>
        <v/>
      </c>
    </row>
    <row r="809" spans="1:25" x14ac:dyDescent="0.3">
      <c r="A809" t="str">
        <f>IF(C809="","",_xlfn.CONCAT(LEFT(InventoryTable[[#This Row],[Category]],1),InventoryTable[[#This Row],[Product Pricing Type]],ROW()))</f>
        <v/>
      </c>
      <c r="H809" t="str">
        <f t="shared" si="127"/>
        <v/>
      </c>
      <c r="K809" t="str">
        <f t="shared" si="128"/>
        <v/>
      </c>
      <c r="N809" t="str">
        <f t="shared" si="129"/>
        <v/>
      </c>
      <c r="P809" t="str">
        <f t="shared" si="130"/>
        <v/>
      </c>
      <c r="Q809" s="4" t="str">
        <f t="shared" si="131"/>
        <v/>
      </c>
      <c r="R809" t="str">
        <f t="shared" si="132"/>
        <v/>
      </c>
      <c r="S809" t="str">
        <f t="shared" si="133"/>
        <v/>
      </c>
      <c r="T809" t="str">
        <f>IF(C809="","",InventoryTable[[#This Row],[Profit per Unit]]*InventoryTable[[#This Row],[Total Pieces]])</f>
        <v/>
      </c>
      <c r="U809" t="str">
        <f t="shared" si="124"/>
        <v/>
      </c>
      <c r="V809" t="str">
        <f>IF(C809="","",H809-InventoryTable[[#This Row],[Units Sold]])</f>
        <v/>
      </c>
      <c r="W809" t="str">
        <f t="shared" si="125"/>
        <v/>
      </c>
      <c r="X809" t="str">
        <f t="shared" si="126"/>
        <v/>
      </c>
      <c r="Y809" t="str">
        <f>IF(C809="","",IF(InventoryTable[[#This Row],[Stock Balance]]&lt;=0,"Sold Out",IF((InventoryTable[[#This Row],[Stock Balance]]/InventoryTable[[#This Row],[Total Pieces]])&lt;=0.25,"Low on Stocks","Available")))</f>
        <v/>
      </c>
    </row>
    <row r="810" spans="1:25" x14ac:dyDescent="0.3">
      <c r="A810" t="str">
        <f>IF(C810="","",_xlfn.CONCAT(LEFT(InventoryTable[[#This Row],[Category]],1),InventoryTable[[#This Row],[Product Pricing Type]],ROW()))</f>
        <v/>
      </c>
      <c r="H810" t="str">
        <f t="shared" si="127"/>
        <v/>
      </c>
      <c r="K810" t="str">
        <f t="shared" si="128"/>
        <v/>
      </c>
      <c r="N810" t="str">
        <f t="shared" si="129"/>
        <v/>
      </c>
      <c r="P810" t="str">
        <f t="shared" si="130"/>
        <v/>
      </c>
      <c r="Q810" s="4" t="str">
        <f t="shared" si="131"/>
        <v/>
      </c>
      <c r="R810" t="str">
        <f t="shared" si="132"/>
        <v/>
      </c>
      <c r="S810" t="str">
        <f t="shared" si="133"/>
        <v/>
      </c>
      <c r="T810" t="str">
        <f>IF(C810="","",InventoryTable[[#This Row],[Profit per Unit]]*InventoryTable[[#This Row],[Total Pieces]])</f>
        <v/>
      </c>
      <c r="U810" t="str">
        <f t="shared" si="124"/>
        <v/>
      </c>
      <c r="V810" t="str">
        <f>IF(C810="","",H810-InventoryTable[[#This Row],[Units Sold]])</f>
        <v/>
      </c>
      <c r="W810" t="str">
        <f t="shared" si="125"/>
        <v/>
      </c>
      <c r="X810" t="str">
        <f t="shared" si="126"/>
        <v/>
      </c>
      <c r="Y810" t="str">
        <f>IF(C810="","",IF(InventoryTable[[#This Row],[Stock Balance]]&lt;=0,"Sold Out",IF((InventoryTable[[#This Row],[Stock Balance]]/InventoryTable[[#This Row],[Total Pieces]])&lt;=0.25,"Low on Stocks","Available")))</f>
        <v/>
      </c>
    </row>
    <row r="811" spans="1:25" x14ac:dyDescent="0.3">
      <c r="A811" t="str">
        <f>IF(C811="","",_xlfn.CONCAT(LEFT(InventoryTable[[#This Row],[Category]],1),InventoryTable[[#This Row],[Product Pricing Type]],ROW()))</f>
        <v/>
      </c>
      <c r="H811" t="str">
        <f t="shared" si="127"/>
        <v/>
      </c>
      <c r="K811" t="str">
        <f t="shared" si="128"/>
        <v/>
      </c>
      <c r="N811" t="str">
        <f t="shared" si="129"/>
        <v/>
      </c>
      <c r="P811" t="str">
        <f t="shared" si="130"/>
        <v/>
      </c>
      <c r="Q811" s="4" t="str">
        <f t="shared" si="131"/>
        <v/>
      </c>
      <c r="R811" t="str">
        <f t="shared" si="132"/>
        <v/>
      </c>
      <c r="S811" t="str">
        <f t="shared" si="133"/>
        <v/>
      </c>
      <c r="T811" t="str">
        <f>IF(C811="","",InventoryTable[[#This Row],[Profit per Unit]]*InventoryTable[[#This Row],[Total Pieces]])</f>
        <v/>
      </c>
      <c r="U811" t="str">
        <f t="shared" si="124"/>
        <v/>
      </c>
      <c r="V811" t="str">
        <f>IF(C811="","",H811-InventoryTable[[#This Row],[Units Sold]])</f>
        <v/>
      </c>
      <c r="W811" t="str">
        <f t="shared" si="125"/>
        <v/>
      </c>
      <c r="X811" t="str">
        <f t="shared" si="126"/>
        <v/>
      </c>
      <c r="Y811" t="str">
        <f>IF(C811="","",IF(InventoryTable[[#This Row],[Stock Balance]]&lt;=0,"Sold Out",IF((InventoryTable[[#This Row],[Stock Balance]]/InventoryTable[[#This Row],[Total Pieces]])&lt;=0.25,"Low on Stocks","Available")))</f>
        <v/>
      </c>
    </row>
    <row r="812" spans="1:25" x14ac:dyDescent="0.3">
      <c r="A812" t="str">
        <f>IF(C812="","",_xlfn.CONCAT(LEFT(InventoryTable[[#This Row],[Category]],1),InventoryTable[[#This Row],[Product Pricing Type]],ROW()))</f>
        <v/>
      </c>
      <c r="H812" t="str">
        <f t="shared" si="127"/>
        <v/>
      </c>
      <c r="K812" t="str">
        <f t="shared" si="128"/>
        <v/>
      </c>
      <c r="N812" t="str">
        <f t="shared" si="129"/>
        <v/>
      </c>
      <c r="P812" t="str">
        <f t="shared" si="130"/>
        <v/>
      </c>
      <c r="Q812" s="4" t="str">
        <f t="shared" si="131"/>
        <v/>
      </c>
      <c r="R812" t="str">
        <f t="shared" si="132"/>
        <v/>
      </c>
      <c r="S812" t="str">
        <f t="shared" si="133"/>
        <v/>
      </c>
      <c r="T812" t="str">
        <f>IF(C812="","",InventoryTable[[#This Row],[Profit per Unit]]*InventoryTable[[#This Row],[Total Pieces]])</f>
        <v/>
      </c>
      <c r="U812" t="str">
        <f t="shared" si="124"/>
        <v/>
      </c>
      <c r="V812" t="str">
        <f>IF(C812="","",H812-InventoryTable[[#This Row],[Units Sold]])</f>
        <v/>
      </c>
      <c r="W812" t="str">
        <f t="shared" si="125"/>
        <v/>
      </c>
      <c r="X812" t="str">
        <f t="shared" si="126"/>
        <v/>
      </c>
      <c r="Y812" t="str">
        <f>IF(C812="","",IF(InventoryTable[[#This Row],[Stock Balance]]&lt;=0,"Sold Out",IF((InventoryTable[[#This Row],[Stock Balance]]/InventoryTable[[#This Row],[Total Pieces]])&lt;=0.25,"Low on Stocks","Available")))</f>
        <v/>
      </c>
    </row>
    <row r="813" spans="1:25" x14ac:dyDescent="0.3">
      <c r="A813" t="str">
        <f>IF(C813="","",_xlfn.CONCAT(LEFT(InventoryTable[[#This Row],[Category]],1),InventoryTable[[#This Row],[Product Pricing Type]],ROW()))</f>
        <v/>
      </c>
      <c r="H813" t="str">
        <f t="shared" si="127"/>
        <v/>
      </c>
      <c r="K813" t="str">
        <f t="shared" si="128"/>
        <v/>
      </c>
      <c r="N813" t="str">
        <f t="shared" si="129"/>
        <v/>
      </c>
      <c r="P813" t="str">
        <f t="shared" si="130"/>
        <v/>
      </c>
      <c r="Q813" s="4" t="str">
        <f t="shared" si="131"/>
        <v/>
      </c>
      <c r="R813" t="str">
        <f t="shared" si="132"/>
        <v/>
      </c>
      <c r="S813" t="str">
        <f t="shared" si="133"/>
        <v/>
      </c>
      <c r="T813" t="str">
        <f>IF(C813="","",InventoryTable[[#This Row],[Profit per Unit]]*InventoryTable[[#This Row],[Total Pieces]])</f>
        <v/>
      </c>
      <c r="U813" t="str">
        <f t="shared" si="124"/>
        <v/>
      </c>
      <c r="V813" t="str">
        <f>IF(C813="","",H813-InventoryTable[[#This Row],[Units Sold]])</f>
        <v/>
      </c>
      <c r="W813" t="str">
        <f t="shared" si="125"/>
        <v/>
      </c>
      <c r="X813" t="str">
        <f t="shared" si="126"/>
        <v/>
      </c>
      <c r="Y813" t="str">
        <f>IF(C813="","",IF(InventoryTable[[#This Row],[Stock Balance]]&lt;=0,"Sold Out",IF((InventoryTable[[#This Row],[Stock Balance]]/InventoryTable[[#This Row],[Total Pieces]])&lt;=0.25,"Low on Stocks","Available")))</f>
        <v/>
      </c>
    </row>
    <row r="814" spans="1:25" x14ac:dyDescent="0.3">
      <c r="A814" t="str">
        <f>IF(C814="","",_xlfn.CONCAT(LEFT(InventoryTable[[#This Row],[Category]],1),InventoryTable[[#This Row],[Product Pricing Type]],ROW()))</f>
        <v/>
      </c>
      <c r="H814" t="str">
        <f t="shared" si="127"/>
        <v/>
      </c>
      <c r="K814" t="str">
        <f t="shared" si="128"/>
        <v/>
      </c>
      <c r="N814" t="str">
        <f t="shared" si="129"/>
        <v/>
      </c>
      <c r="P814" t="str">
        <f t="shared" si="130"/>
        <v/>
      </c>
      <c r="Q814" s="4" t="str">
        <f t="shared" si="131"/>
        <v/>
      </c>
      <c r="R814" t="str">
        <f t="shared" si="132"/>
        <v/>
      </c>
      <c r="S814" t="str">
        <f t="shared" si="133"/>
        <v/>
      </c>
      <c r="T814" t="str">
        <f>IF(C814="","",InventoryTable[[#This Row],[Profit per Unit]]*InventoryTable[[#This Row],[Total Pieces]])</f>
        <v/>
      </c>
      <c r="U814" t="str">
        <f t="shared" si="124"/>
        <v/>
      </c>
      <c r="V814" t="str">
        <f>IF(C814="","",H814-InventoryTable[[#This Row],[Units Sold]])</f>
        <v/>
      </c>
      <c r="W814" t="str">
        <f t="shared" si="125"/>
        <v/>
      </c>
      <c r="X814" t="str">
        <f t="shared" si="126"/>
        <v/>
      </c>
      <c r="Y814" t="str">
        <f>IF(C814="","",IF(InventoryTable[[#This Row],[Stock Balance]]&lt;=0,"Sold Out",IF((InventoryTable[[#This Row],[Stock Balance]]/InventoryTable[[#This Row],[Total Pieces]])&lt;=0.25,"Low on Stocks","Available")))</f>
        <v/>
      </c>
    </row>
    <row r="815" spans="1:25" x14ac:dyDescent="0.3">
      <c r="A815" t="str">
        <f>IF(C815="","",_xlfn.CONCAT(LEFT(InventoryTable[[#This Row],[Category]],1),InventoryTable[[#This Row],[Product Pricing Type]],ROW()))</f>
        <v/>
      </c>
      <c r="H815" t="str">
        <f t="shared" si="127"/>
        <v/>
      </c>
      <c r="K815" t="str">
        <f t="shared" si="128"/>
        <v/>
      </c>
      <c r="N815" t="str">
        <f t="shared" si="129"/>
        <v/>
      </c>
      <c r="P815" t="str">
        <f t="shared" si="130"/>
        <v/>
      </c>
      <c r="Q815" s="4" t="str">
        <f t="shared" si="131"/>
        <v/>
      </c>
      <c r="R815" t="str">
        <f t="shared" si="132"/>
        <v/>
      </c>
      <c r="S815" t="str">
        <f t="shared" si="133"/>
        <v/>
      </c>
      <c r="T815" t="str">
        <f>IF(C815="","",InventoryTable[[#This Row],[Profit per Unit]]*InventoryTable[[#This Row],[Total Pieces]])</f>
        <v/>
      </c>
      <c r="U815" t="str">
        <f t="shared" si="124"/>
        <v/>
      </c>
      <c r="V815" t="str">
        <f>IF(C815="","",H815-InventoryTable[[#This Row],[Units Sold]])</f>
        <v/>
      </c>
      <c r="W815" t="str">
        <f t="shared" si="125"/>
        <v/>
      </c>
      <c r="X815" t="str">
        <f t="shared" si="126"/>
        <v/>
      </c>
      <c r="Y815" t="str">
        <f>IF(C815="","",IF(InventoryTable[[#This Row],[Stock Balance]]&lt;=0,"Sold Out",IF((InventoryTable[[#This Row],[Stock Balance]]/InventoryTable[[#This Row],[Total Pieces]])&lt;=0.25,"Low on Stocks","Available")))</f>
        <v/>
      </c>
    </row>
    <row r="816" spans="1:25" x14ac:dyDescent="0.3">
      <c r="A816" t="str">
        <f>IF(C816="","",_xlfn.CONCAT(LEFT(InventoryTable[[#This Row],[Category]],1),InventoryTable[[#This Row],[Product Pricing Type]],ROW()))</f>
        <v/>
      </c>
      <c r="H816" t="str">
        <f t="shared" si="127"/>
        <v/>
      </c>
      <c r="K816" t="str">
        <f t="shared" si="128"/>
        <v/>
      </c>
      <c r="N816" t="str">
        <f t="shared" si="129"/>
        <v/>
      </c>
      <c r="P816" t="str">
        <f t="shared" si="130"/>
        <v/>
      </c>
      <c r="Q816" s="4" t="str">
        <f t="shared" si="131"/>
        <v/>
      </c>
      <c r="R816" t="str">
        <f t="shared" si="132"/>
        <v/>
      </c>
      <c r="S816" t="str">
        <f t="shared" si="133"/>
        <v/>
      </c>
      <c r="T816" t="str">
        <f>IF(C816="","",InventoryTable[[#This Row],[Profit per Unit]]*InventoryTable[[#This Row],[Total Pieces]])</f>
        <v/>
      </c>
      <c r="U816" t="str">
        <f t="shared" si="124"/>
        <v/>
      </c>
      <c r="V816" t="str">
        <f>IF(C816="","",H816-InventoryTable[[#This Row],[Units Sold]])</f>
        <v/>
      </c>
      <c r="W816" t="str">
        <f t="shared" si="125"/>
        <v/>
      </c>
      <c r="X816" t="str">
        <f t="shared" si="126"/>
        <v/>
      </c>
      <c r="Y816" t="str">
        <f>IF(C816="","",IF(InventoryTable[[#This Row],[Stock Balance]]&lt;=0,"Sold Out",IF((InventoryTable[[#This Row],[Stock Balance]]/InventoryTable[[#This Row],[Total Pieces]])&lt;=0.25,"Low on Stocks","Available")))</f>
        <v/>
      </c>
    </row>
    <row r="817" spans="1:25" x14ac:dyDescent="0.3">
      <c r="A817" t="str">
        <f>IF(C817="","",_xlfn.CONCAT(LEFT(InventoryTable[[#This Row],[Category]],1),InventoryTable[[#This Row],[Product Pricing Type]],ROW()))</f>
        <v/>
      </c>
      <c r="H817" t="str">
        <f t="shared" si="127"/>
        <v/>
      </c>
      <c r="K817" t="str">
        <f t="shared" si="128"/>
        <v/>
      </c>
      <c r="N817" t="str">
        <f t="shared" si="129"/>
        <v/>
      </c>
      <c r="P817" t="str">
        <f t="shared" si="130"/>
        <v/>
      </c>
      <c r="Q817" s="4" t="str">
        <f t="shared" si="131"/>
        <v/>
      </c>
      <c r="R817" t="str">
        <f t="shared" si="132"/>
        <v/>
      </c>
      <c r="S817" t="str">
        <f t="shared" si="133"/>
        <v/>
      </c>
      <c r="T817" t="str">
        <f>IF(C817="","",InventoryTable[[#This Row],[Profit per Unit]]*InventoryTable[[#This Row],[Total Pieces]])</f>
        <v/>
      </c>
      <c r="U817" t="str">
        <f t="shared" si="124"/>
        <v/>
      </c>
      <c r="V817" t="str">
        <f>IF(C817="","",H817-InventoryTable[[#This Row],[Units Sold]])</f>
        <v/>
      </c>
      <c r="W817" t="str">
        <f t="shared" si="125"/>
        <v/>
      </c>
      <c r="X817" t="str">
        <f t="shared" si="126"/>
        <v/>
      </c>
      <c r="Y817" t="str">
        <f>IF(C817="","",IF(InventoryTable[[#This Row],[Stock Balance]]&lt;=0,"Sold Out",IF((InventoryTable[[#This Row],[Stock Balance]]/InventoryTable[[#This Row],[Total Pieces]])&lt;=0.25,"Low on Stocks","Available")))</f>
        <v/>
      </c>
    </row>
    <row r="818" spans="1:25" x14ac:dyDescent="0.3">
      <c r="A818" t="str">
        <f>IF(C818="","",_xlfn.CONCAT(LEFT(InventoryTable[[#This Row],[Category]],1),InventoryTable[[#This Row],[Product Pricing Type]],ROW()))</f>
        <v/>
      </c>
      <c r="H818" t="str">
        <f t="shared" si="127"/>
        <v/>
      </c>
      <c r="K818" t="str">
        <f t="shared" si="128"/>
        <v/>
      </c>
      <c r="N818" t="str">
        <f t="shared" si="129"/>
        <v/>
      </c>
      <c r="P818" t="str">
        <f t="shared" si="130"/>
        <v/>
      </c>
      <c r="Q818" s="4" t="str">
        <f t="shared" si="131"/>
        <v/>
      </c>
      <c r="R818" t="str">
        <f t="shared" si="132"/>
        <v/>
      </c>
      <c r="S818" t="str">
        <f t="shared" si="133"/>
        <v/>
      </c>
      <c r="T818" t="str">
        <f>IF(C818="","",InventoryTable[[#This Row],[Profit per Unit]]*InventoryTable[[#This Row],[Total Pieces]])</f>
        <v/>
      </c>
      <c r="U818" t="str">
        <f t="shared" si="124"/>
        <v/>
      </c>
      <c r="V818" t="str">
        <f>IF(C818="","",H818-InventoryTable[[#This Row],[Units Sold]])</f>
        <v/>
      </c>
      <c r="W818" t="str">
        <f t="shared" si="125"/>
        <v/>
      </c>
      <c r="X818" t="str">
        <f t="shared" si="126"/>
        <v/>
      </c>
      <c r="Y818" t="str">
        <f>IF(C818="","",IF(InventoryTable[[#This Row],[Stock Balance]]&lt;=0,"Sold Out",IF((InventoryTable[[#This Row],[Stock Balance]]/InventoryTable[[#This Row],[Total Pieces]])&lt;=0.25,"Low on Stocks","Available")))</f>
        <v/>
      </c>
    </row>
    <row r="819" spans="1:25" x14ac:dyDescent="0.3">
      <c r="A819" t="str">
        <f>IF(C819="","",_xlfn.CONCAT(LEFT(InventoryTable[[#This Row],[Category]],1),InventoryTable[[#This Row],[Product Pricing Type]],ROW()))</f>
        <v/>
      </c>
      <c r="H819" t="str">
        <f t="shared" si="127"/>
        <v/>
      </c>
      <c r="K819" t="str">
        <f t="shared" si="128"/>
        <v/>
      </c>
      <c r="N819" t="str">
        <f t="shared" si="129"/>
        <v/>
      </c>
      <c r="P819" t="str">
        <f t="shared" si="130"/>
        <v/>
      </c>
      <c r="Q819" s="4" t="str">
        <f t="shared" si="131"/>
        <v/>
      </c>
      <c r="R819" t="str">
        <f t="shared" si="132"/>
        <v/>
      </c>
      <c r="S819" t="str">
        <f t="shared" si="133"/>
        <v/>
      </c>
      <c r="T819" t="str">
        <f>IF(C819="","",InventoryTable[[#This Row],[Profit per Unit]]*InventoryTable[[#This Row],[Total Pieces]])</f>
        <v/>
      </c>
      <c r="U819" t="str">
        <f t="shared" si="124"/>
        <v/>
      </c>
      <c r="V819" t="str">
        <f>IF(C819="","",H819-InventoryTable[[#This Row],[Units Sold]])</f>
        <v/>
      </c>
      <c r="W819" t="str">
        <f t="shared" si="125"/>
        <v/>
      </c>
      <c r="X819" t="str">
        <f t="shared" si="126"/>
        <v/>
      </c>
      <c r="Y819" t="str">
        <f>IF(C819="","",IF(InventoryTable[[#This Row],[Stock Balance]]&lt;=0,"Sold Out",IF((InventoryTable[[#This Row],[Stock Balance]]/InventoryTable[[#This Row],[Total Pieces]])&lt;=0.25,"Low on Stocks","Available")))</f>
        <v/>
      </c>
    </row>
    <row r="820" spans="1:25" x14ac:dyDescent="0.3">
      <c r="A820" t="str">
        <f>IF(C820="","",_xlfn.CONCAT(LEFT(InventoryTable[[#This Row],[Category]],1),InventoryTable[[#This Row],[Product Pricing Type]],ROW()))</f>
        <v/>
      </c>
      <c r="H820" t="str">
        <f t="shared" si="127"/>
        <v/>
      </c>
      <c r="K820" t="str">
        <f t="shared" si="128"/>
        <v/>
      </c>
      <c r="N820" t="str">
        <f t="shared" si="129"/>
        <v/>
      </c>
      <c r="P820" t="str">
        <f t="shared" si="130"/>
        <v/>
      </c>
      <c r="Q820" s="4" t="str">
        <f t="shared" si="131"/>
        <v/>
      </c>
      <c r="R820" t="str">
        <f t="shared" si="132"/>
        <v/>
      </c>
      <c r="S820" t="str">
        <f t="shared" si="133"/>
        <v/>
      </c>
      <c r="T820" t="str">
        <f>IF(C820="","",InventoryTable[[#This Row],[Profit per Unit]]*InventoryTable[[#This Row],[Total Pieces]])</f>
        <v/>
      </c>
      <c r="U820" t="str">
        <f t="shared" si="124"/>
        <v/>
      </c>
      <c r="V820" t="str">
        <f>IF(C820="","",H820-InventoryTable[[#This Row],[Units Sold]])</f>
        <v/>
      </c>
      <c r="W820" t="str">
        <f t="shared" si="125"/>
        <v/>
      </c>
      <c r="X820" t="str">
        <f t="shared" si="126"/>
        <v/>
      </c>
      <c r="Y820" t="str">
        <f>IF(C820="","",IF(InventoryTable[[#This Row],[Stock Balance]]&lt;=0,"Sold Out",IF((InventoryTable[[#This Row],[Stock Balance]]/InventoryTable[[#This Row],[Total Pieces]])&lt;=0.25,"Low on Stocks","Available")))</f>
        <v/>
      </c>
    </row>
    <row r="821" spans="1:25" x14ac:dyDescent="0.3">
      <c r="A821" t="str">
        <f>IF(C821="","",_xlfn.CONCAT(LEFT(InventoryTable[[#This Row],[Category]],1),InventoryTable[[#This Row],[Product Pricing Type]],ROW()))</f>
        <v/>
      </c>
      <c r="H821" t="str">
        <f t="shared" si="127"/>
        <v/>
      </c>
      <c r="K821" t="str">
        <f t="shared" si="128"/>
        <v/>
      </c>
      <c r="N821" t="str">
        <f t="shared" si="129"/>
        <v/>
      </c>
      <c r="P821" t="str">
        <f t="shared" si="130"/>
        <v/>
      </c>
      <c r="Q821" s="4" t="str">
        <f t="shared" si="131"/>
        <v/>
      </c>
      <c r="R821" t="str">
        <f t="shared" si="132"/>
        <v/>
      </c>
      <c r="S821" t="str">
        <f t="shared" si="133"/>
        <v/>
      </c>
      <c r="T821" t="str">
        <f>IF(C821="","",InventoryTable[[#This Row],[Profit per Unit]]*InventoryTable[[#This Row],[Total Pieces]])</f>
        <v/>
      </c>
      <c r="U821" t="str">
        <f t="shared" si="124"/>
        <v/>
      </c>
      <c r="V821" t="str">
        <f>IF(C821="","",H821-InventoryTable[[#This Row],[Units Sold]])</f>
        <v/>
      </c>
      <c r="W821" t="str">
        <f t="shared" si="125"/>
        <v/>
      </c>
      <c r="X821" t="str">
        <f t="shared" si="126"/>
        <v/>
      </c>
      <c r="Y821" t="str">
        <f>IF(C821="","",IF(InventoryTable[[#This Row],[Stock Balance]]&lt;=0,"Sold Out",IF((InventoryTable[[#This Row],[Stock Balance]]/InventoryTable[[#This Row],[Total Pieces]])&lt;=0.25,"Low on Stocks","Available")))</f>
        <v/>
      </c>
    </row>
    <row r="822" spans="1:25" x14ac:dyDescent="0.3">
      <c r="A822" t="str">
        <f>IF(C822="","",_xlfn.CONCAT(LEFT(InventoryTable[[#This Row],[Category]],1),InventoryTable[[#This Row],[Product Pricing Type]],ROW()))</f>
        <v/>
      </c>
      <c r="H822" t="str">
        <f t="shared" si="127"/>
        <v/>
      </c>
      <c r="K822" t="str">
        <f t="shared" si="128"/>
        <v/>
      </c>
      <c r="N822" t="str">
        <f t="shared" si="129"/>
        <v/>
      </c>
      <c r="P822" t="str">
        <f t="shared" si="130"/>
        <v/>
      </c>
      <c r="Q822" s="4" t="str">
        <f t="shared" si="131"/>
        <v/>
      </c>
      <c r="R822" t="str">
        <f t="shared" si="132"/>
        <v/>
      </c>
      <c r="S822" t="str">
        <f t="shared" si="133"/>
        <v/>
      </c>
      <c r="T822" t="str">
        <f>IF(C822="","",InventoryTable[[#This Row],[Profit per Unit]]*InventoryTable[[#This Row],[Total Pieces]])</f>
        <v/>
      </c>
      <c r="U822" t="str">
        <f t="shared" si="124"/>
        <v/>
      </c>
      <c r="V822" t="str">
        <f>IF(C822="","",H822-InventoryTable[[#This Row],[Units Sold]])</f>
        <v/>
      </c>
      <c r="W822" t="str">
        <f t="shared" si="125"/>
        <v/>
      </c>
      <c r="X822" t="str">
        <f t="shared" si="126"/>
        <v/>
      </c>
      <c r="Y822" t="str">
        <f>IF(C822="","",IF(InventoryTable[[#This Row],[Stock Balance]]&lt;=0,"Sold Out",IF((InventoryTable[[#This Row],[Stock Balance]]/InventoryTable[[#This Row],[Total Pieces]])&lt;=0.25,"Low on Stocks","Available")))</f>
        <v/>
      </c>
    </row>
    <row r="823" spans="1:25" x14ac:dyDescent="0.3">
      <c r="A823" t="str">
        <f>IF(C823="","",_xlfn.CONCAT(LEFT(InventoryTable[[#This Row],[Category]],1),InventoryTable[[#This Row],[Product Pricing Type]],ROW()))</f>
        <v/>
      </c>
      <c r="H823" t="str">
        <f t="shared" si="127"/>
        <v/>
      </c>
      <c r="K823" t="str">
        <f t="shared" si="128"/>
        <v/>
      </c>
      <c r="N823" t="str">
        <f t="shared" si="129"/>
        <v/>
      </c>
      <c r="P823" t="str">
        <f t="shared" si="130"/>
        <v/>
      </c>
      <c r="Q823" s="4" t="str">
        <f t="shared" si="131"/>
        <v/>
      </c>
      <c r="R823" t="str">
        <f t="shared" si="132"/>
        <v/>
      </c>
      <c r="S823" t="str">
        <f t="shared" si="133"/>
        <v/>
      </c>
      <c r="T823" t="str">
        <f>IF(C823="","",InventoryTable[[#This Row],[Profit per Unit]]*InventoryTable[[#This Row],[Total Pieces]])</f>
        <v/>
      </c>
      <c r="U823" t="str">
        <f t="shared" si="124"/>
        <v/>
      </c>
      <c r="V823" t="str">
        <f>IF(C823="","",H823-InventoryTable[[#This Row],[Units Sold]])</f>
        <v/>
      </c>
      <c r="W823" t="str">
        <f t="shared" si="125"/>
        <v/>
      </c>
      <c r="X823" t="str">
        <f t="shared" si="126"/>
        <v/>
      </c>
      <c r="Y823" t="str">
        <f>IF(C823="","",IF(InventoryTable[[#This Row],[Stock Balance]]&lt;=0,"Sold Out",IF((InventoryTable[[#This Row],[Stock Balance]]/InventoryTable[[#This Row],[Total Pieces]])&lt;=0.25,"Low on Stocks","Available")))</f>
        <v/>
      </c>
    </row>
    <row r="824" spans="1:25" x14ac:dyDescent="0.3">
      <c r="A824" t="str">
        <f>IF(C824="","",_xlfn.CONCAT(LEFT(InventoryTable[[#This Row],[Category]],1),InventoryTable[[#This Row],[Product Pricing Type]],ROW()))</f>
        <v/>
      </c>
      <c r="H824" t="str">
        <f t="shared" si="127"/>
        <v/>
      </c>
      <c r="K824" t="str">
        <f t="shared" si="128"/>
        <v/>
      </c>
      <c r="N824" t="str">
        <f t="shared" si="129"/>
        <v/>
      </c>
      <c r="P824" t="str">
        <f t="shared" si="130"/>
        <v/>
      </c>
      <c r="Q824" s="4" t="str">
        <f t="shared" si="131"/>
        <v/>
      </c>
      <c r="R824" t="str">
        <f t="shared" si="132"/>
        <v/>
      </c>
      <c r="S824" t="str">
        <f t="shared" si="133"/>
        <v/>
      </c>
      <c r="T824" t="str">
        <f>IF(C824="","",InventoryTable[[#This Row],[Profit per Unit]]*InventoryTable[[#This Row],[Total Pieces]])</f>
        <v/>
      </c>
      <c r="U824" t="str">
        <f t="shared" si="124"/>
        <v/>
      </c>
      <c r="V824" t="str">
        <f>IF(C824="","",H824-InventoryTable[[#This Row],[Units Sold]])</f>
        <v/>
      </c>
      <c r="W824" t="str">
        <f t="shared" si="125"/>
        <v/>
      </c>
      <c r="X824" t="str">
        <f t="shared" si="126"/>
        <v/>
      </c>
      <c r="Y824" t="str">
        <f>IF(C824="","",IF(InventoryTable[[#This Row],[Stock Balance]]&lt;=0,"Sold Out",IF((InventoryTable[[#This Row],[Stock Balance]]/InventoryTable[[#This Row],[Total Pieces]])&lt;=0.25,"Low on Stocks","Available")))</f>
        <v/>
      </c>
    </row>
    <row r="825" spans="1:25" x14ac:dyDescent="0.3">
      <c r="A825" t="str">
        <f>IF(C825="","",_xlfn.CONCAT(LEFT(InventoryTable[[#This Row],[Category]],1),InventoryTable[[#This Row],[Product Pricing Type]],ROW()))</f>
        <v/>
      </c>
      <c r="H825" t="str">
        <f t="shared" si="127"/>
        <v/>
      </c>
      <c r="K825" t="str">
        <f t="shared" si="128"/>
        <v/>
      </c>
      <c r="N825" t="str">
        <f t="shared" si="129"/>
        <v/>
      </c>
      <c r="P825" t="str">
        <f t="shared" si="130"/>
        <v/>
      </c>
      <c r="Q825" s="4" t="str">
        <f t="shared" si="131"/>
        <v/>
      </c>
      <c r="R825" t="str">
        <f t="shared" si="132"/>
        <v/>
      </c>
      <c r="S825" t="str">
        <f t="shared" si="133"/>
        <v/>
      </c>
      <c r="T825" t="str">
        <f>IF(C825="","",InventoryTable[[#This Row],[Profit per Unit]]*InventoryTable[[#This Row],[Total Pieces]])</f>
        <v/>
      </c>
      <c r="U825" t="str">
        <f t="shared" si="124"/>
        <v/>
      </c>
      <c r="V825" t="str">
        <f>IF(C825="","",H825-InventoryTable[[#This Row],[Units Sold]])</f>
        <v/>
      </c>
      <c r="W825" t="str">
        <f t="shared" si="125"/>
        <v/>
      </c>
      <c r="X825" t="str">
        <f t="shared" si="126"/>
        <v/>
      </c>
      <c r="Y825" t="str">
        <f>IF(C825="","",IF(InventoryTable[[#This Row],[Stock Balance]]&lt;=0,"Sold Out",IF((InventoryTable[[#This Row],[Stock Balance]]/InventoryTable[[#This Row],[Total Pieces]])&lt;=0.25,"Low on Stocks","Available")))</f>
        <v/>
      </c>
    </row>
    <row r="826" spans="1:25" x14ac:dyDescent="0.3">
      <c r="A826" t="str">
        <f>IF(C826="","",_xlfn.CONCAT(LEFT(InventoryTable[[#This Row],[Category]],1),InventoryTable[[#This Row],[Product Pricing Type]],ROW()))</f>
        <v/>
      </c>
      <c r="H826" t="str">
        <f t="shared" si="127"/>
        <v/>
      </c>
      <c r="K826" t="str">
        <f t="shared" si="128"/>
        <v/>
      </c>
      <c r="N826" t="str">
        <f t="shared" si="129"/>
        <v/>
      </c>
      <c r="P826" t="str">
        <f t="shared" si="130"/>
        <v/>
      </c>
      <c r="Q826" s="4" t="str">
        <f t="shared" si="131"/>
        <v/>
      </c>
      <c r="R826" t="str">
        <f t="shared" si="132"/>
        <v/>
      </c>
      <c r="S826" t="str">
        <f t="shared" si="133"/>
        <v/>
      </c>
      <c r="T826" t="str">
        <f>IF(C826="","",InventoryTable[[#This Row],[Profit per Unit]]*InventoryTable[[#This Row],[Total Pieces]])</f>
        <v/>
      </c>
      <c r="U826" t="str">
        <f t="shared" si="124"/>
        <v/>
      </c>
      <c r="V826" t="str">
        <f>IF(C826="","",H826-InventoryTable[[#This Row],[Units Sold]])</f>
        <v/>
      </c>
      <c r="W826" t="str">
        <f t="shared" si="125"/>
        <v/>
      </c>
      <c r="X826" t="str">
        <f t="shared" si="126"/>
        <v/>
      </c>
      <c r="Y826" t="str">
        <f>IF(C826="","",IF(InventoryTable[[#This Row],[Stock Balance]]&lt;=0,"Sold Out",IF((InventoryTable[[#This Row],[Stock Balance]]/InventoryTable[[#This Row],[Total Pieces]])&lt;=0.25,"Low on Stocks","Available")))</f>
        <v/>
      </c>
    </row>
    <row r="827" spans="1:25" x14ac:dyDescent="0.3">
      <c r="A827" t="str">
        <f>IF(C827="","",_xlfn.CONCAT(LEFT(InventoryTable[[#This Row],[Category]],1),InventoryTable[[#This Row],[Product Pricing Type]],ROW()))</f>
        <v/>
      </c>
      <c r="H827" t="str">
        <f t="shared" si="127"/>
        <v/>
      </c>
      <c r="K827" t="str">
        <f t="shared" si="128"/>
        <v/>
      </c>
      <c r="N827" t="str">
        <f t="shared" si="129"/>
        <v/>
      </c>
      <c r="P827" t="str">
        <f t="shared" si="130"/>
        <v/>
      </c>
      <c r="Q827" s="4" t="str">
        <f t="shared" si="131"/>
        <v/>
      </c>
      <c r="R827" t="str">
        <f t="shared" si="132"/>
        <v/>
      </c>
      <c r="S827" t="str">
        <f t="shared" si="133"/>
        <v/>
      </c>
      <c r="T827" t="str">
        <f>IF(C827="","",InventoryTable[[#This Row],[Profit per Unit]]*InventoryTable[[#This Row],[Total Pieces]])</f>
        <v/>
      </c>
      <c r="U827" t="str">
        <f t="shared" si="124"/>
        <v/>
      </c>
      <c r="V827" t="str">
        <f>IF(C827="","",H827-InventoryTable[[#This Row],[Units Sold]])</f>
        <v/>
      </c>
      <c r="W827" t="str">
        <f t="shared" si="125"/>
        <v/>
      </c>
      <c r="X827" t="str">
        <f t="shared" si="126"/>
        <v/>
      </c>
      <c r="Y827" t="str">
        <f>IF(C827="","",IF(InventoryTable[[#This Row],[Stock Balance]]&lt;=0,"Sold Out",IF((InventoryTable[[#This Row],[Stock Balance]]/InventoryTable[[#This Row],[Total Pieces]])&lt;=0.25,"Low on Stocks","Available")))</f>
        <v/>
      </c>
    </row>
    <row r="828" spans="1:25" x14ac:dyDescent="0.3">
      <c r="A828" t="str">
        <f>IF(C828="","",_xlfn.CONCAT(LEFT(InventoryTable[[#This Row],[Category]],1),InventoryTable[[#This Row],[Product Pricing Type]],ROW()))</f>
        <v/>
      </c>
      <c r="H828" t="str">
        <f t="shared" si="127"/>
        <v/>
      </c>
      <c r="K828" t="str">
        <f t="shared" si="128"/>
        <v/>
      </c>
      <c r="N828" t="str">
        <f t="shared" si="129"/>
        <v/>
      </c>
      <c r="P828" t="str">
        <f t="shared" si="130"/>
        <v/>
      </c>
      <c r="Q828" s="4" t="str">
        <f t="shared" si="131"/>
        <v/>
      </c>
      <c r="R828" t="str">
        <f t="shared" si="132"/>
        <v/>
      </c>
      <c r="S828" t="str">
        <f t="shared" si="133"/>
        <v/>
      </c>
      <c r="T828" t="str">
        <f>IF(C828="","",InventoryTable[[#This Row],[Profit per Unit]]*InventoryTable[[#This Row],[Total Pieces]])</f>
        <v/>
      </c>
      <c r="U828" t="str">
        <f t="shared" si="124"/>
        <v/>
      </c>
      <c r="V828" t="str">
        <f>IF(C828="","",H828-InventoryTable[[#This Row],[Units Sold]])</f>
        <v/>
      </c>
      <c r="W828" t="str">
        <f t="shared" si="125"/>
        <v/>
      </c>
      <c r="X828" t="str">
        <f t="shared" si="126"/>
        <v/>
      </c>
      <c r="Y828" t="str">
        <f>IF(C828="","",IF(InventoryTable[[#This Row],[Stock Balance]]&lt;=0,"Sold Out",IF((InventoryTable[[#This Row],[Stock Balance]]/InventoryTable[[#This Row],[Total Pieces]])&lt;=0.25,"Low on Stocks","Available")))</f>
        <v/>
      </c>
    </row>
    <row r="829" spans="1:25" x14ac:dyDescent="0.3">
      <c r="A829" t="str">
        <f>IF(C829="","",_xlfn.CONCAT(LEFT(InventoryTable[[#This Row],[Category]],1),InventoryTable[[#This Row],[Product Pricing Type]],ROW()))</f>
        <v/>
      </c>
      <c r="H829" t="str">
        <f t="shared" si="127"/>
        <v/>
      </c>
      <c r="K829" t="str">
        <f t="shared" si="128"/>
        <v/>
      </c>
      <c r="N829" t="str">
        <f t="shared" si="129"/>
        <v/>
      </c>
      <c r="P829" t="str">
        <f t="shared" si="130"/>
        <v/>
      </c>
      <c r="Q829" s="4" t="str">
        <f t="shared" si="131"/>
        <v/>
      </c>
      <c r="R829" t="str">
        <f t="shared" si="132"/>
        <v/>
      </c>
      <c r="S829" t="str">
        <f t="shared" si="133"/>
        <v/>
      </c>
      <c r="T829" t="str">
        <f>IF(C829="","",InventoryTable[[#This Row],[Profit per Unit]]*InventoryTable[[#This Row],[Total Pieces]])</f>
        <v/>
      </c>
      <c r="U829" t="str">
        <f t="shared" ref="U829:U892" si="134">IF(C829="","",0)</f>
        <v/>
      </c>
      <c r="V829" t="str">
        <f>IF(C829="","",H829-InventoryTable[[#This Row],[Units Sold]])</f>
        <v/>
      </c>
      <c r="W829" t="str">
        <f t="shared" ref="W829:W892" si="135">IF(C829="","",Q829*U829)</f>
        <v/>
      </c>
      <c r="X829" t="str">
        <f t="shared" ref="X829:X892" si="136">IF(C829="","",S829*U829)</f>
        <v/>
      </c>
      <c r="Y829" t="str">
        <f>IF(C829="","",IF(InventoryTable[[#This Row],[Stock Balance]]&lt;=0,"Sold Out",IF((InventoryTable[[#This Row],[Stock Balance]]/InventoryTable[[#This Row],[Total Pieces]])&lt;=0.25,"Low on Stocks","Available")))</f>
        <v/>
      </c>
    </row>
    <row r="830" spans="1:25" x14ac:dyDescent="0.3">
      <c r="A830" t="str">
        <f>IF(C830="","",_xlfn.CONCAT(LEFT(InventoryTable[[#This Row],[Category]],1),InventoryTable[[#This Row],[Product Pricing Type]],ROW()))</f>
        <v/>
      </c>
      <c r="H830" t="str">
        <f t="shared" si="127"/>
        <v/>
      </c>
      <c r="K830" t="str">
        <f t="shared" si="128"/>
        <v/>
      </c>
      <c r="N830" t="str">
        <f t="shared" si="129"/>
        <v/>
      </c>
      <c r="P830" t="str">
        <f t="shared" si="130"/>
        <v/>
      </c>
      <c r="Q830" s="4" t="str">
        <f t="shared" si="131"/>
        <v/>
      </c>
      <c r="R830" t="str">
        <f t="shared" si="132"/>
        <v/>
      </c>
      <c r="S830" t="str">
        <f t="shared" si="133"/>
        <v/>
      </c>
      <c r="T830" t="str">
        <f>IF(C830="","",InventoryTable[[#This Row],[Profit per Unit]]*InventoryTable[[#This Row],[Total Pieces]])</f>
        <v/>
      </c>
      <c r="U830" t="str">
        <f t="shared" si="134"/>
        <v/>
      </c>
      <c r="V830" t="str">
        <f>IF(C830="","",H830-InventoryTable[[#This Row],[Units Sold]])</f>
        <v/>
      </c>
      <c r="W830" t="str">
        <f t="shared" si="135"/>
        <v/>
      </c>
      <c r="X830" t="str">
        <f t="shared" si="136"/>
        <v/>
      </c>
      <c r="Y830" t="str">
        <f>IF(C830="","",IF(InventoryTable[[#This Row],[Stock Balance]]&lt;=0,"Sold Out",IF((InventoryTable[[#This Row],[Stock Balance]]/InventoryTable[[#This Row],[Total Pieces]])&lt;=0.25,"Low on Stocks","Available")))</f>
        <v/>
      </c>
    </row>
    <row r="831" spans="1:25" x14ac:dyDescent="0.3">
      <c r="A831" t="str">
        <f>IF(C831="","",_xlfn.CONCAT(LEFT(InventoryTable[[#This Row],[Category]],1),InventoryTable[[#This Row],[Product Pricing Type]],ROW()))</f>
        <v/>
      </c>
      <c r="H831" t="str">
        <f t="shared" si="127"/>
        <v/>
      </c>
      <c r="K831" t="str">
        <f t="shared" si="128"/>
        <v/>
      </c>
      <c r="N831" t="str">
        <f t="shared" si="129"/>
        <v/>
      </c>
      <c r="P831" t="str">
        <f t="shared" si="130"/>
        <v/>
      </c>
      <c r="Q831" s="4" t="str">
        <f t="shared" si="131"/>
        <v/>
      </c>
      <c r="R831" t="str">
        <f t="shared" si="132"/>
        <v/>
      </c>
      <c r="S831" t="str">
        <f t="shared" si="133"/>
        <v/>
      </c>
      <c r="T831" t="str">
        <f>IF(C831="","",InventoryTable[[#This Row],[Profit per Unit]]*InventoryTable[[#This Row],[Total Pieces]])</f>
        <v/>
      </c>
      <c r="U831" t="str">
        <f t="shared" si="134"/>
        <v/>
      </c>
      <c r="V831" t="str">
        <f>IF(C831="","",H831-InventoryTable[[#This Row],[Units Sold]])</f>
        <v/>
      </c>
      <c r="W831" t="str">
        <f t="shared" si="135"/>
        <v/>
      </c>
      <c r="X831" t="str">
        <f t="shared" si="136"/>
        <v/>
      </c>
      <c r="Y831" t="str">
        <f>IF(C831="","",IF(InventoryTable[[#This Row],[Stock Balance]]&lt;=0,"Sold Out",IF((InventoryTable[[#This Row],[Stock Balance]]/InventoryTable[[#This Row],[Total Pieces]])&lt;=0.25,"Low on Stocks","Available")))</f>
        <v/>
      </c>
    </row>
    <row r="832" spans="1:25" x14ac:dyDescent="0.3">
      <c r="A832" t="str">
        <f>IF(C832="","",_xlfn.CONCAT(LEFT(InventoryTable[[#This Row],[Category]],1),InventoryTable[[#This Row],[Product Pricing Type]],ROW()))</f>
        <v/>
      </c>
      <c r="H832" t="str">
        <f t="shared" si="127"/>
        <v/>
      </c>
      <c r="K832" t="str">
        <f t="shared" si="128"/>
        <v/>
      </c>
      <c r="N832" t="str">
        <f t="shared" si="129"/>
        <v/>
      </c>
      <c r="P832" t="str">
        <f t="shared" si="130"/>
        <v/>
      </c>
      <c r="Q832" s="4" t="str">
        <f t="shared" si="131"/>
        <v/>
      </c>
      <c r="R832" t="str">
        <f t="shared" si="132"/>
        <v/>
      </c>
      <c r="S832" t="str">
        <f t="shared" si="133"/>
        <v/>
      </c>
      <c r="T832" t="str">
        <f>IF(C832="","",InventoryTable[[#This Row],[Profit per Unit]]*InventoryTable[[#This Row],[Total Pieces]])</f>
        <v/>
      </c>
      <c r="U832" t="str">
        <f t="shared" si="134"/>
        <v/>
      </c>
      <c r="V832" t="str">
        <f>IF(C832="","",H832-InventoryTable[[#This Row],[Units Sold]])</f>
        <v/>
      </c>
      <c r="W832" t="str">
        <f t="shared" si="135"/>
        <v/>
      </c>
      <c r="X832" t="str">
        <f t="shared" si="136"/>
        <v/>
      </c>
      <c r="Y832" t="str">
        <f>IF(C832="","",IF(InventoryTable[[#This Row],[Stock Balance]]&lt;=0,"Sold Out",IF((InventoryTable[[#This Row],[Stock Balance]]/InventoryTable[[#This Row],[Total Pieces]])&lt;=0.25,"Low on Stocks","Available")))</f>
        <v/>
      </c>
    </row>
    <row r="833" spans="1:25" x14ac:dyDescent="0.3">
      <c r="A833" t="str">
        <f>IF(C833="","",_xlfn.CONCAT(LEFT(InventoryTable[[#This Row],[Category]],1),InventoryTable[[#This Row],[Product Pricing Type]],ROW()))</f>
        <v/>
      </c>
      <c r="H833" t="str">
        <f t="shared" si="127"/>
        <v/>
      </c>
      <c r="K833" t="str">
        <f t="shared" si="128"/>
        <v/>
      </c>
      <c r="N833" t="str">
        <f t="shared" si="129"/>
        <v/>
      </c>
      <c r="P833" t="str">
        <f t="shared" si="130"/>
        <v/>
      </c>
      <c r="Q833" s="4" t="str">
        <f t="shared" si="131"/>
        <v/>
      </c>
      <c r="R833" t="str">
        <f t="shared" si="132"/>
        <v/>
      </c>
      <c r="S833" t="str">
        <f t="shared" si="133"/>
        <v/>
      </c>
      <c r="T833" t="str">
        <f>IF(C833="","",InventoryTable[[#This Row],[Profit per Unit]]*InventoryTable[[#This Row],[Total Pieces]])</f>
        <v/>
      </c>
      <c r="U833" t="str">
        <f t="shared" si="134"/>
        <v/>
      </c>
      <c r="V833" t="str">
        <f>IF(C833="","",H833-InventoryTable[[#This Row],[Units Sold]])</f>
        <v/>
      </c>
      <c r="W833" t="str">
        <f t="shared" si="135"/>
        <v/>
      </c>
      <c r="X833" t="str">
        <f t="shared" si="136"/>
        <v/>
      </c>
      <c r="Y833" t="str">
        <f>IF(C833="","",IF(InventoryTable[[#This Row],[Stock Balance]]&lt;=0,"Sold Out",IF((InventoryTable[[#This Row],[Stock Balance]]/InventoryTable[[#This Row],[Total Pieces]])&lt;=0.25,"Low on Stocks","Available")))</f>
        <v/>
      </c>
    </row>
    <row r="834" spans="1:25" x14ac:dyDescent="0.3">
      <c r="A834" t="str">
        <f>IF(C834="","",_xlfn.CONCAT(LEFT(InventoryTable[[#This Row],[Category]],1),InventoryTable[[#This Row],[Product Pricing Type]],ROW()))</f>
        <v/>
      </c>
      <c r="H834" t="str">
        <f t="shared" si="127"/>
        <v/>
      </c>
      <c r="K834" t="str">
        <f t="shared" si="128"/>
        <v/>
      </c>
      <c r="N834" t="str">
        <f t="shared" si="129"/>
        <v/>
      </c>
      <c r="P834" t="str">
        <f t="shared" si="130"/>
        <v/>
      </c>
      <c r="Q834" s="4" t="str">
        <f t="shared" si="131"/>
        <v/>
      </c>
      <c r="R834" t="str">
        <f t="shared" si="132"/>
        <v/>
      </c>
      <c r="S834" t="str">
        <f t="shared" si="133"/>
        <v/>
      </c>
      <c r="T834" t="str">
        <f>IF(C834="","",InventoryTable[[#This Row],[Profit per Unit]]*InventoryTable[[#This Row],[Total Pieces]])</f>
        <v/>
      </c>
      <c r="U834" t="str">
        <f t="shared" si="134"/>
        <v/>
      </c>
      <c r="V834" t="str">
        <f>IF(C834="","",H834-InventoryTable[[#This Row],[Units Sold]])</f>
        <v/>
      </c>
      <c r="W834" t="str">
        <f t="shared" si="135"/>
        <v/>
      </c>
      <c r="X834" t="str">
        <f t="shared" si="136"/>
        <v/>
      </c>
      <c r="Y834" t="str">
        <f>IF(C834="","",IF(InventoryTable[[#This Row],[Stock Balance]]&lt;=0,"Sold Out",IF((InventoryTable[[#This Row],[Stock Balance]]/InventoryTable[[#This Row],[Total Pieces]])&lt;=0.25,"Low on Stocks","Available")))</f>
        <v/>
      </c>
    </row>
    <row r="835" spans="1:25" x14ac:dyDescent="0.3">
      <c r="A835" t="str">
        <f>IF(C835="","",_xlfn.CONCAT(LEFT(InventoryTable[[#This Row],[Category]],1),InventoryTable[[#This Row],[Product Pricing Type]],ROW()))</f>
        <v/>
      </c>
      <c r="H835" t="str">
        <f t="shared" si="127"/>
        <v/>
      </c>
      <c r="K835" t="str">
        <f t="shared" si="128"/>
        <v/>
      </c>
      <c r="N835" t="str">
        <f t="shared" si="129"/>
        <v/>
      </c>
      <c r="P835" t="str">
        <f t="shared" si="130"/>
        <v/>
      </c>
      <c r="Q835" s="4" t="str">
        <f t="shared" si="131"/>
        <v/>
      </c>
      <c r="R835" t="str">
        <f t="shared" si="132"/>
        <v/>
      </c>
      <c r="S835" t="str">
        <f t="shared" si="133"/>
        <v/>
      </c>
      <c r="T835" t="str">
        <f>IF(C835="","",InventoryTable[[#This Row],[Profit per Unit]]*InventoryTable[[#This Row],[Total Pieces]])</f>
        <v/>
      </c>
      <c r="U835" t="str">
        <f t="shared" si="134"/>
        <v/>
      </c>
      <c r="V835" t="str">
        <f>IF(C835="","",H835-InventoryTable[[#This Row],[Units Sold]])</f>
        <v/>
      </c>
      <c r="W835" t="str">
        <f t="shared" si="135"/>
        <v/>
      </c>
      <c r="X835" t="str">
        <f t="shared" si="136"/>
        <v/>
      </c>
      <c r="Y835" t="str">
        <f>IF(C835="","",IF(InventoryTable[[#This Row],[Stock Balance]]&lt;=0,"Sold Out",IF((InventoryTable[[#This Row],[Stock Balance]]/InventoryTable[[#This Row],[Total Pieces]])&lt;=0.25,"Low on Stocks","Available")))</f>
        <v/>
      </c>
    </row>
    <row r="836" spans="1:25" x14ac:dyDescent="0.3">
      <c r="A836" t="str">
        <f>IF(C836="","",_xlfn.CONCAT(LEFT(InventoryTable[[#This Row],[Category]],1),InventoryTable[[#This Row],[Product Pricing Type]],ROW()))</f>
        <v/>
      </c>
      <c r="H836" t="str">
        <f t="shared" si="127"/>
        <v/>
      </c>
      <c r="K836" t="str">
        <f t="shared" si="128"/>
        <v/>
      </c>
      <c r="N836" t="str">
        <f t="shared" si="129"/>
        <v/>
      </c>
      <c r="P836" t="str">
        <f t="shared" si="130"/>
        <v/>
      </c>
      <c r="Q836" s="4" t="str">
        <f t="shared" si="131"/>
        <v/>
      </c>
      <c r="R836" t="str">
        <f t="shared" si="132"/>
        <v/>
      </c>
      <c r="S836" t="str">
        <f t="shared" si="133"/>
        <v/>
      </c>
      <c r="T836" t="str">
        <f>IF(C836="","",InventoryTable[[#This Row],[Profit per Unit]]*InventoryTable[[#This Row],[Total Pieces]])</f>
        <v/>
      </c>
      <c r="U836" t="str">
        <f t="shared" si="134"/>
        <v/>
      </c>
      <c r="V836" t="str">
        <f>IF(C836="","",H836-InventoryTable[[#This Row],[Units Sold]])</f>
        <v/>
      </c>
      <c r="W836" t="str">
        <f t="shared" si="135"/>
        <v/>
      </c>
      <c r="X836" t="str">
        <f t="shared" si="136"/>
        <v/>
      </c>
      <c r="Y836" t="str">
        <f>IF(C836="","",IF(InventoryTable[[#This Row],[Stock Balance]]&lt;=0,"Sold Out",IF((InventoryTable[[#This Row],[Stock Balance]]/InventoryTable[[#This Row],[Total Pieces]])&lt;=0.25,"Low on Stocks","Available")))</f>
        <v/>
      </c>
    </row>
    <row r="837" spans="1:25" x14ac:dyDescent="0.3">
      <c r="A837" t="str">
        <f>IF(C837="","",_xlfn.CONCAT(LEFT(InventoryTable[[#This Row],[Category]],1),InventoryTable[[#This Row],[Product Pricing Type]],ROW()))</f>
        <v/>
      </c>
      <c r="H837" t="str">
        <f t="shared" si="127"/>
        <v/>
      </c>
      <c r="K837" t="str">
        <f t="shared" si="128"/>
        <v/>
      </c>
      <c r="N837" t="str">
        <f t="shared" si="129"/>
        <v/>
      </c>
      <c r="P837" t="str">
        <f t="shared" si="130"/>
        <v/>
      </c>
      <c r="Q837" s="4" t="str">
        <f t="shared" si="131"/>
        <v/>
      </c>
      <c r="R837" t="str">
        <f t="shared" si="132"/>
        <v/>
      </c>
      <c r="S837" t="str">
        <f t="shared" si="133"/>
        <v/>
      </c>
      <c r="T837" t="str">
        <f>IF(C837="","",InventoryTable[[#This Row],[Profit per Unit]]*InventoryTable[[#This Row],[Total Pieces]])</f>
        <v/>
      </c>
      <c r="U837" t="str">
        <f t="shared" si="134"/>
        <v/>
      </c>
      <c r="V837" t="str">
        <f>IF(C837="","",H837-InventoryTable[[#This Row],[Units Sold]])</f>
        <v/>
      </c>
      <c r="W837" t="str">
        <f t="shared" si="135"/>
        <v/>
      </c>
      <c r="X837" t="str">
        <f t="shared" si="136"/>
        <v/>
      </c>
      <c r="Y837" t="str">
        <f>IF(C837="","",IF(InventoryTable[[#This Row],[Stock Balance]]&lt;=0,"Sold Out",IF((InventoryTable[[#This Row],[Stock Balance]]/InventoryTable[[#This Row],[Total Pieces]])&lt;=0.25,"Low on Stocks","Available")))</f>
        <v/>
      </c>
    </row>
    <row r="838" spans="1:25" x14ac:dyDescent="0.3">
      <c r="A838" t="str">
        <f>IF(C838="","",_xlfn.CONCAT(LEFT(InventoryTable[[#This Row],[Category]],1),InventoryTable[[#This Row],[Product Pricing Type]],ROW()))</f>
        <v/>
      </c>
      <c r="H838" t="str">
        <f t="shared" si="127"/>
        <v/>
      </c>
      <c r="K838" t="str">
        <f t="shared" si="128"/>
        <v/>
      </c>
      <c r="N838" t="str">
        <f t="shared" si="129"/>
        <v/>
      </c>
      <c r="P838" t="str">
        <f t="shared" si="130"/>
        <v/>
      </c>
      <c r="Q838" s="4" t="str">
        <f t="shared" si="131"/>
        <v/>
      </c>
      <c r="R838" t="str">
        <f t="shared" si="132"/>
        <v/>
      </c>
      <c r="S838" t="str">
        <f t="shared" si="133"/>
        <v/>
      </c>
      <c r="T838" t="str">
        <f>IF(C838="","",InventoryTable[[#This Row],[Profit per Unit]]*InventoryTable[[#This Row],[Total Pieces]])</f>
        <v/>
      </c>
      <c r="U838" t="str">
        <f t="shared" si="134"/>
        <v/>
      </c>
      <c r="V838" t="str">
        <f>IF(C838="","",H838-InventoryTable[[#This Row],[Units Sold]])</f>
        <v/>
      </c>
      <c r="W838" t="str">
        <f t="shared" si="135"/>
        <v/>
      </c>
      <c r="X838" t="str">
        <f t="shared" si="136"/>
        <v/>
      </c>
      <c r="Y838" t="str">
        <f>IF(C838="","",IF(InventoryTable[[#This Row],[Stock Balance]]&lt;=0,"Sold Out",IF((InventoryTable[[#This Row],[Stock Balance]]/InventoryTable[[#This Row],[Total Pieces]])&lt;=0.25,"Low on Stocks","Available")))</f>
        <v/>
      </c>
    </row>
    <row r="839" spans="1:25" x14ac:dyDescent="0.3">
      <c r="A839" t="str">
        <f>IF(C839="","",_xlfn.CONCAT(LEFT(InventoryTable[[#This Row],[Category]],1),InventoryTable[[#This Row],[Product Pricing Type]],ROW()))</f>
        <v/>
      </c>
      <c r="H839" t="str">
        <f t="shared" si="127"/>
        <v/>
      </c>
      <c r="K839" t="str">
        <f t="shared" si="128"/>
        <v/>
      </c>
      <c r="N839" t="str">
        <f t="shared" si="129"/>
        <v/>
      </c>
      <c r="P839" t="str">
        <f t="shared" si="130"/>
        <v/>
      </c>
      <c r="Q839" s="4" t="str">
        <f t="shared" si="131"/>
        <v/>
      </c>
      <c r="R839" t="str">
        <f t="shared" si="132"/>
        <v/>
      </c>
      <c r="S839" t="str">
        <f t="shared" si="133"/>
        <v/>
      </c>
      <c r="T839" t="str">
        <f>IF(C839="","",InventoryTable[[#This Row],[Profit per Unit]]*InventoryTable[[#This Row],[Total Pieces]])</f>
        <v/>
      </c>
      <c r="U839" t="str">
        <f t="shared" si="134"/>
        <v/>
      </c>
      <c r="V839" t="str">
        <f>IF(C839="","",H839-InventoryTable[[#This Row],[Units Sold]])</f>
        <v/>
      </c>
      <c r="W839" t="str">
        <f t="shared" si="135"/>
        <v/>
      </c>
      <c r="X839" t="str">
        <f t="shared" si="136"/>
        <v/>
      </c>
      <c r="Y839" t="str">
        <f>IF(C839="","",IF(InventoryTable[[#This Row],[Stock Balance]]&lt;=0,"Sold Out",IF((InventoryTable[[#This Row],[Stock Balance]]/InventoryTable[[#This Row],[Total Pieces]])&lt;=0.25,"Low on Stocks","Available")))</f>
        <v/>
      </c>
    </row>
    <row r="840" spans="1:25" x14ac:dyDescent="0.3">
      <c r="A840" t="str">
        <f>IF(C840="","",_xlfn.CONCAT(LEFT(InventoryTable[[#This Row],[Category]],1),InventoryTable[[#This Row],[Product Pricing Type]],ROW()))</f>
        <v/>
      </c>
      <c r="H840" t="str">
        <f t="shared" si="127"/>
        <v/>
      </c>
      <c r="K840" t="str">
        <f t="shared" si="128"/>
        <v/>
      </c>
      <c r="N840" t="str">
        <f t="shared" si="129"/>
        <v/>
      </c>
      <c r="P840" t="str">
        <f t="shared" si="130"/>
        <v/>
      </c>
      <c r="Q840" s="4" t="str">
        <f t="shared" si="131"/>
        <v/>
      </c>
      <c r="R840" t="str">
        <f t="shared" si="132"/>
        <v/>
      </c>
      <c r="S840" t="str">
        <f t="shared" si="133"/>
        <v/>
      </c>
      <c r="T840" t="str">
        <f>IF(C840="","",InventoryTable[[#This Row],[Profit per Unit]]*InventoryTable[[#This Row],[Total Pieces]])</f>
        <v/>
      </c>
      <c r="U840" t="str">
        <f t="shared" si="134"/>
        <v/>
      </c>
      <c r="V840" t="str">
        <f>IF(C840="","",H840-InventoryTable[[#This Row],[Units Sold]])</f>
        <v/>
      </c>
      <c r="W840" t="str">
        <f t="shared" si="135"/>
        <v/>
      </c>
      <c r="X840" t="str">
        <f t="shared" si="136"/>
        <v/>
      </c>
      <c r="Y840" t="str">
        <f>IF(C840="","",IF(InventoryTable[[#This Row],[Stock Balance]]&lt;=0,"Sold Out",IF((InventoryTable[[#This Row],[Stock Balance]]/InventoryTable[[#This Row],[Total Pieces]])&lt;=0.25,"Low on Stocks","Available")))</f>
        <v/>
      </c>
    </row>
    <row r="841" spans="1:25" x14ac:dyDescent="0.3">
      <c r="A841" t="str">
        <f>IF(C841="","",_xlfn.CONCAT(LEFT(InventoryTable[[#This Row],[Category]],1),InventoryTable[[#This Row],[Product Pricing Type]],ROW()))</f>
        <v/>
      </c>
      <c r="H841" t="str">
        <f t="shared" si="127"/>
        <v/>
      </c>
      <c r="K841" t="str">
        <f t="shared" si="128"/>
        <v/>
      </c>
      <c r="N841" t="str">
        <f t="shared" si="129"/>
        <v/>
      </c>
      <c r="P841" t="str">
        <f t="shared" si="130"/>
        <v/>
      </c>
      <c r="Q841" s="4" t="str">
        <f t="shared" si="131"/>
        <v/>
      </c>
      <c r="R841" t="str">
        <f t="shared" si="132"/>
        <v/>
      </c>
      <c r="S841" t="str">
        <f t="shared" si="133"/>
        <v/>
      </c>
      <c r="T841" t="str">
        <f>IF(C841="","",InventoryTable[[#This Row],[Profit per Unit]]*InventoryTable[[#This Row],[Total Pieces]])</f>
        <v/>
      </c>
      <c r="U841" t="str">
        <f t="shared" si="134"/>
        <v/>
      </c>
      <c r="V841" t="str">
        <f>IF(C841="","",H841-InventoryTable[[#This Row],[Units Sold]])</f>
        <v/>
      </c>
      <c r="W841" t="str">
        <f t="shared" si="135"/>
        <v/>
      </c>
      <c r="X841" t="str">
        <f t="shared" si="136"/>
        <v/>
      </c>
      <c r="Y841" t="str">
        <f>IF(C841="","",IF(InventoryTable[[#This Row],[Stock Balance]]&lt;=0,"Sold Out",IF((InventoryTable[[#This Row],[Stock Balance]]/InventoryTable[[#This Row],[Total Pieces]])&lt;=0.25,"Low on Stocks","Available")))</f>
        <v/>
      </c>
    </row>
    <row r="842" spans="1:25" x14ac:dyDescent="0.3">
      <c r="A842" t="str">
        <f>IF(C842="","",_xlfn.CONCAT(LEFT(InventoryTable[[#This Row],[Category]],1),InventoryTable[[#This Row],[Product Pricing Type]],ROW()))</f>
        <v/>
      </c>
      <c r="H842" t="str">
        <f t="shared" si="127"/>
        <v/>
      </c>
      <c r="K842" t="str">
        <f t="shared" si="128"/>
        <v/>
      </c>
      <c r="N842" t="str">
        <f t="shared" si="129"/>
        <v/>
      </c>
      <c r="P842" t="str">
        <f t="shared" si="130"/>
        <v/>
      </c>
      <c r="Q842" s="4" t="str">
        <f t="shared" si="131"/>
        <v/>
      </c>
      <c r="R842" t="str">
        <f t="shared" si="132"/>
        <v/>
      </c>
      <c r="S842" t="str">
        <f t="shared" si="133"/>
        <v/>
      </c>
      <c r="T842" t="str">
        <f>IF(C842="","",InventoryTable[[#This Row],[Profit per Unit]]*InventoryTable[[#This Row],[Total Pieces]])</f>
        <v/>
      </c>
      <c r="U842" t="str">
        <f t="shared" si="134"/>
        <v/>
      </c>
      <c r="V842" t="str">
        <f>IF(C842="","",H842-InventoryTable[[#This Row],[Units Sold]])</f>
        <v/>
      </c>
      <c r="W842" t="str">
        <f t="shared" si="135"/>
        <v/>
      </c>
      <c r="X842" t="str">
        <f t="shared" si="136"/>
        <v/>
      </c>
      <c r="Y842" t="str">
        <f>IF(C842="","",IF(InventoryTable[[#This Row],[Stock Balance]]&lt;=0,"Sold Out",IF((InventoryTable[[#This Row],[Stock Balance]]/InventoryTable[[#This Row],[Total Pieces]])&lt;=0.25,"Low on Stocks","Available")))</f>
        <v/>
      </c>
    </row>
    <row r="843" spans="1:25" x14ac:dyDescent="0.3">
      <c r="A843" t="str">
        <f>IF(C843="","",_xlfn.CONCAT(LEFT(InventoryTable[[#This Row],[Category]],1),InventoryTable[[#This Row],[Product Pricing Type]],ROW()))</f>
        <v/>
      </c>
      <c r="H843" t="str">
        <f t="shared" si="127"/>
        <v/>
      </c>
      <c r="K843" t="str">
        <f t="shared" si="128"/>
        <v/>
      </c>
      <c r="N843" t="str">
        <f t="shared" si="129"/>
        <v/>
      </c>
      <c r="P843" t="str">
        <f t="shared" si="130"/>
        <v/>
      </c>
      <c r="Q843" s="4" t="str">
        <f t="shared" si="131"/>
        <v/>
      </c>
      <c r="R843" t="str">
        <f t="shared" si="132"/>
        <v/>
      </c>
      <c r="S843" t="str">
        <f t="shared" si="133"/>
        <v/>
      </c>
      <c r="T843" t="str">
        <f>IF(C843="","",InventoryTable[[#This Row],[Profit per Unit]]*InventoryTable[[#This Row],[Total Pieces]])</f>
        <v/>
      </c>
      <c r="U843" t="str">
        <f t="shared" si="134"/>
        <v/>
      </c>
      <c r="V843" t="str">
        <f>IF(C843="","",H843-InventoryTable[[#This Row],[Units Sold]])</f>
        <v/>
      </c>
      <c r="W843" t="str">
        <f t="shared" si="135"/>
        <v/>
      </c>
      <c r="X843" t="str">
        <f t="shared" si="136"/>
        <v/>
      </c>
      <c r="Y843" t="str">
        <f>IF(C843="","",IF(InventoryTable[[#This Row],[Stock Balance]]&lt;=0,"Sold Out",IF((InventoryTable[[#This Row],[Stock Balance]]/InventoryTable[[#This Row],[Total Pieces]])&lt;=0.25,"Low on Stocks","Available")))</f>
        <v/>
      </c>
    </row>
    <row r="844" spans="1:25" x14ac:dyDescent="0.3">
      <c r="A844" t="str">
        <f>IF(C844="","",_xlfn.CONCAT(LEFT(InventoryTable[[#This Row],[Category]],1),InventoryTable[[#This Row],[Product Pricing Type]],ROW()))</f>
        <v/>
      </c>
      <c r="H844" t="str">
        <f t="shared" si="127"/>
        <v/>
      </c>
      <c r="K844" t="str">
        <f t="shared" si="128"/>
        <v/>
      </c>
      <c r="N844" t="str">
        <f t="shared" si="129"/>
        <v/>
      </c>
      <c r="P844" t="str">
        <f t="shared" si="130"/>
        <v/>
      </c>
      <c r="Q844" s="4" t="str">
        <f t="shared" si="131"/>
        <v/>
      </c>
      <c r="R844" t="str">
        <f t="shared" si="132"/>
        <v/>
      </c>
      <c r="S844" t="str">
        <f t="shared" si="133"/>
        <v/>
      </c>
      <c r="T844" t="str">
        <f>IF(C844="","",InventoryTable[[#This Row],[Profit per Unit]]*InventoryTable[[#This Row],[Total Pieces]])</f>
        <v/>
      </c>
      <c r="U844" t="str">
        <f t="shared" si="134"/>
        <v/>
      </c>
      <c r="V844" t="str">
        <f>IF(C844="","",H844-InventoryTable[[#This Row],[Units Sold]])</f>
        <v/>
      </c>
      <c r="W844" t="str">
        <f t="shared" si="135"/>
        <v/>
      </c>
      <c r="X844" t="str">
        <f t="shared" si="136"/>
        <v/>
      </c>
      <c r="Y844" t="str">
        <f>IF(C844="","",IF(InventoryTable[[#This Row],[Stock Balance]]&lt;=0,"Sold Out",IF((InventoryTable[[#This Row],[Stock Balance]]/InventoryTable[[#This Row],[Total Pieces]])&lt;=0.25,"Low on Stocks","Available")))</f>
        <v/>
      </c>
    </row>
    <row r="845" spans="1:25" x14ac:dyDescent="0.3">
      <c r="A845" t="str">
        <f>IF(C845="","",_xlfn.CONCAT(LEFT(InventoryTable[[#This Row],[Category]],1),InventoryTable[[#This Row],[Product Pricing Type]],ROW()))</f>
        <v/>
      </c>
      <c r="H845" t="str">
        <f t="shared" si="127"/>
        <v/>
      </c>
      <c r="K845" t="str">
        <f t="shared" si="128"/>
        <v/>
      </c>
      <c r="N845" t="str">
        <f t="shared" si="129"/>
        <v/>
      </c>
      <c r="P845" t="str">
        <f t="shared" si="130"/>
        <v/>
      </c>
      <c r="Q845" s="4" t="str">
        <f t="shared" si="131"/>
        <v/>
      </c>
      <c r="R845" t="str">
        <f t="shared" si="132"/>
        <v/>
      </c>
      <c r="S845" t="str">
        <f t="shared" si="133"/>
        <v/>
      </c>
      <c r="T845" t="str">
        <f>IF(C845="","",InventoryTable[[#This Row],[Profit per Unit]]*InventoryTable[[#This Row],[Total Pieces]])</f>
        <v/>
      </c>
      <c r="U845" t="str">
        <f t="shared" si="134"/>
        <v/>
      </c>
      <c r="V845" t="str">
        <f>IF(C845="","",H845-InventoryTable[[#This Row],[Units Sold]])</f>
        <v/>
      </c>
      <c r="W845" t="str">
        <f t="shared" si="135"/>
        <v/>
      </c>
      <c r="X845" t="str">
        <f t="shared" si="136"/>
        <v/>
      </c>
      <c r="Y845" t="str">
        <f>IF(C845="","",IF(InventoryTable[[#This Row],[Stock Balance]]&lt;=0,"Sold Out",IF((InventoryTable[[#This Row],[Stock Balance]]/InventoryTable[[#This Row],[Total Pieces]])&lt;=0.25,"Low on Stocks","Available")))</f>
        <v/>
      </c>
    </row>
    <row r="846" spans="1:25" x14ac:dyDescent="0.3">
      <c r="A846" t="str">
        <f>IF(C846="","",_xlfn.CONCAT(LEFT(InventoryTable[[#This Row],[Category]],1),InventoryTable[[#This Row],[Product Pricing Type]],ROW()))</f>
        <v/>
      </c>
      <c r="H846" t="str">
        <f t="shared" si="127"/>
        <v/>
      </c>
      <c r="K846" t="str">
        <f t="shared" si="128"/>
        <v/>
      </c>
      <c r="N846" t="str">
        <f t="shared" si="129"/>
        <v/>
      </c>
      <c r="P846" t="str">
        <f t="shared" si="130"/>
        <v/>
      </c>
      <c r="Q846" s="4" t="str">
        <f t="shared" si="131"/>
        <v/>
      </c>
      <c r="R846" t="str">
        <f t="shared" si="132"/>
        <v/>
      </c>
      <c r="S846" t="str">
        <f t="shared" si="133"/>
        <v/>
      </c>
      <c r="T846" t="str">
        <f>IF(C846="","",InventoryTable[[#This Row],[Profit per Unit]]*InventoryTable[[#This Row],[Total Pieces]])</f>
        <v/>
      </c>
      <c r="U846" t="str">
        <f t="shared" si="134"/>
        <v/>
      </c>
      <c r="V846" t="str">
        <f>IF(C846="","",H846-InventoryTable[[#This Row],[Units Sold]])</f>
        <v/>
      </c>
      <c r="W846" t="str">
        <f t="shared" si="135"/>
        <v/>
      </c>
      <c r="X846" t="str">
        <f t="shared" si="136"/>
        <v/>
      </c>
      <c r="Y846" t="str">
        <f>IF(C846="","",IF(InventoryTable[[#This Row],[Stock Balance]]&lt;=0,"Sold Out",IF((InventoryTable[[#This Row],[Stock Balance]]/InventoryTable[[#This Row],[Total Pieces]])&lt;=0.25,"Low on Stocks","Available")))</f>
        <v/>
      </c>
    </row>
    <row r="847" spans="1:25" x14ac:dyDescent="0.3">
      <c r="A847" t="str">
        <f>IF(C847="","",_xlfn.CONCAT(LEFT(InventoryTable[[#This Row],[Category]],1),InventoryTable[[#This Row],[Product Pricing Type]],ROW()))</f>
        <v/>
      </c>
      <c r="H847" t="str">
        <f t="shared" si="127"/>
        <v/>
      </c>
      <c r="K847" t="str">
        <f t="shared" si="128"/>
        <v/>
      </c>
      <c r="N847" t="str">
        <f t="shared" si="129"/>
        <v/>
      </c>
      <c r="P847" t="str">
        <f t="shared" si="130"/>
        <v/>
      </c>
      <c r="Q847" s="4" t="str">
        <f t="shared" si="131"/>
        <v/>
      </c>
      <c r="R847" t="str">
        <f t="shared" si="132"/>
        <v/>
      </c>
      <c r="S847" t="str">
        <f t="shared" si="133"/>
        <v/>
      </c>
      <c r="T847" t="str">
        <f>IF(C847="","",InventoryTable[[#This Row],[Profit per Unit]]*InventoryTable[[#This Row],[Total Pieces]])</f>
        <v/>
      </c>
      <c r="U847" t="str">
        <f t="shared" si="134"/>
        <v/>
      </c>
      <c r="V847" t="str">
        <f>IF(C847="","",H847-InventoryTable[[#This Row],[Units Sold]])</f>
        <v/>
      </c>
      <c r="W847" t="str">
        <f t="shared" si="135"/>
        <v/>
      </c>
      <c r="X847" t="str">
        <f t="shared" si="136"/>
        <v/>
      </c>
      <c r="Y847" t="str">
        <f>IF(C847="","",IF(InventoryTable[[#This Row],[Stock Balance]]&lt;=0,"Sold Out",IF((InventoryTable[[#This Row],[Stock Balance]]/InventoryTable[[#This Row],[Total Pieces]])&lt;=0.25,"Low on Stocks","Available")))</f>
        <v/>
      </c>
    </row>
    <row r="848" spans="1:25" x14ac:dyDescent="0.3">
      <c r="A848" t="str">
        <f>IF(C848="","",_xlfn.CONCAT(LEFT(InventoryTable[[#This Row],[Category]],1),InventoryTable[[#This Row],[Product Pricing Type]],ROW()))</f>
        <v/>
      </c>
      <c r="H848" t="str">
        <f t="shared" si="127"/>
        <v/>
      </c>
      <c r="K848" t="str">
        <f t="shared" si="128"/>
        <v/>
      </c>
      <c r="N848" t="str">
        <f t="shared" si="129"/>
        <v/>
      </c>
      <c r="P848" t="str">
        <f t="shared" si="130"/>
        <v/>
      </c>
      <c r="Q848" s="4" t="str">
        <f t="shared" si="131"/>
        <v/>
      </c>
      <c r="R848" t="str">
        <f t="shared" si="132"/>
        <v/>
      </c>
      <c r="S848" t="str">
        <f t="shared" si="133"/>
        <v/>
      </c>
      <c r="T848" t="str">
        <f>IF(C848="","",InventoryTable[[#This Row],[Profit per Unit]]*InventoryTable[[#This Row],[Total Pieces]])</f>
        <v/>
      </c>
      <c r="U848" t="str">
        <f t="shared" si="134"/>
        <v/>
      </c>
      <c r="V848" t="str">
        <f>IF(C848="","",H848-InventoryTable[[#This Row],[Units Sold]])</f>
        <v/>
      </c>
      <c r="W848" t="str">
        <f t="shared" si="135"/>
        <v/>
      </c>
      <c r="X848" t="str">
        <f t="shared" si="136"/>
        <v/>
      </c>
      <c r="Y848" t="str">
        <f>IF(C848="","",IF(InventoryTable[[#This Row],[Stock Balance]]&lt;=0,"Sold Out",IF((InventoryTable[[#This Row],[Stock Balance]]/InventoryTable[[#This Row],[Total Pieces]])&lt;=0.25,"Low on Stocks","Available")))</f>
        <v/>
      </c>
    </row>
    <row r="849" spans="1:25" x14ac:dyDescent="0.3">
      <c r="A849" t="str">
        <f>IF(C849="","",_xlfn.CONCAT(LEFT(InventoryTable[[#This Row],[Category]],1),InventoryTable[[#This Row],[Product Pricing Type]],ROW()))</f>
        <v/>
      </c>
      <c r="H849" t="str">
        <f t="shared" si="127"/>
        <v/>
      </c>
      <c r="K849" t="str">
        <f t="shared" si="128"/>
        <v/>
      </c>
      <c r="N849" t="str">
        <f t="shared" si="129"/>
        <v/>
      </c>
      <c r="P849" t="str">
        <f t="shared" si="130"/>
        <v/>
      </c>
      <c r="Q849" s="4" t="str">
        <f t="shared" si="131"/>
        <v/>
      </c>
      <c r="R849" t="str">
        <f t="shared" si="132"/>
        <v/>
      </c>
      <c r="S849" t="str">
        <f t="shared" si="133"/>
        <v/>
      </c>
      <c r="T849" t="str">
        <f>IF(C849="","",InventoryTable[[#This Row],[Profit per Unit]]*InventoryTable[[#This Row],[Total Pieces]])</f>
        <v/>
      </c>
      <c r="U849" t="str">
        <f t="shared" si="134"/>
        <v/>
      </c>
      <c r="V849" t="str">
        <f>IF(C849="","",H849-InventoryTable[[#This Row],[Units Sold]])</f>
        <v/>
      </c>
      <c r="W849" t="str">
        <f t="shared" si="135"/>
        <v/>
      </c>
      <c r="X849" t="str">
        <f t="shared" si="136"/>
        <v/>
      </c>
      <c r="Y849" t="str">
        <f>IF(C849="","",IF(InventoryTable[[#This Row],[Stock Balance]]&lt;=0,"Sold Out",IF((InventoryTable[[#This Row],[Stock Balance]]/InventoryTable[[#This Row],[Total Pieces]])&lt;=0.25,"Low on Stocks","Available")))</f>
        <v/>
      </c>
    </row>
    <row r="850" spans="1:25" x14ac:dyDescent="0.3">
      <c r="A850" t="str">
        <f>IF(C850="","",_xlfn.CONCAT(LEFT(InventoryTable[[#This Row],[Category]],1),InventoryTable[[#This Row],[Product Pricing Type]],ROW()))</f>
        <v/>
      </c>
      <c r="H850" t="str">
        <f t="shared" si="127"/>
        <v/>
      </c>
      <c r="K850" t="str">
        <f t="shared" si="128"/>
        <v/>
      </c>
      <c r="N850" t="str">
        <f t="shared" si="129"/>
        <v/>
      </c>
      <c r="P850" t="str">
        <f t="shared" si="130"/>
        <v/>
      </c>
      <c r="Q850" s="4" t="str">
        <f t="shared" si="131"/>
        <v/>
      </c>
      <c r="R850" t="str">
        <f t="shared" si="132"/>
        <v/>
      </c>
      <c r="S850" t="str">
        <f t="shared" si="133"/>
        <v/>
      </c>
      <c r="T850" t="str">
        <f>IF(C850="","",InventoryTable[[#This Row],[Profit per Unit]]*InventoryTable[[#This Row],[Total Pieces]])</f>
        <v/>
      </c>
      <c r="U850" t="str">
        <f t="shared" si="134"/>
        <v/>
      </c>
      <c r="V850" t="str">
        <f>IF(C850="","",H850-InventoryTable[[#This Row],[Units Sold]])</f>
        <v/>
      </c>
      <c r="W850" t="str">
        <f t="shared" si="135"/>
        <v/>
      </c>
      <c r="X850" t="str">
        <f t="shared" si="136"/>
        <v/>
      </c>
      <c r="Y850" t="str">
        <f>IF(C850="","",IF(InventoryTable[[#This Row],[Stock Balance]]&lt;=0,"Sold Out",IF((InventoryTable[[#This Row],[Stock Balance]]/InventoryTable[[#This Row],[Total Pieces]])&lt;=0.25,"Low on Stocks","Available")))</f>
        <v/>
      </c>
    </row>
    <row r="851" spans="1:25" x14ac:dyDescent="0.3">
      <c r="A851" t="str">
        <f>IF(C851="","",_xlfn.CONCAT(LEFT(InventoryTable[[#This Row],[Category]],1),InventoryTable[[#This Row],[Product Pricing Type]],ROW()))</f>
        <v/>
      </c>
      <c r="H851" t="str">
        <f t="shared" si="127"/>
        <v/>
      </c>
      <c r="K851" t="str">
        <f t="shared" si="128"/>
        <v/>
      </c>
      <c r="N851" t="str">
        <f t="shared" si="129"/>
        <v/>
      </c>
      <c r="P851" t="str">
        <f t="shared" si="130"/>
        <v/>
      </c>
      <c r="Q851" s="4" t="str">
        <f t="shared" si="131"/>
        <v/>
      </c>
      <c r="R851" t="str">
        <f t="shared" si="132"/>
        <v/>
      </c>
      <c r="S851" t="str">
        <f t="shared" si="133"/>
        <v/>
      </c>
      <c r="T851" t="str">
        <f>IF(C851="","",InventoryTable[[#This Row],[Profit per Unit]]*InventoryTable[[#This Row],[Total Pieces]])</f>
        <v/>
      </c>
      <c r="U851" t="str">
        <f t="shared" si="134"/>
        <v/>
      </c>
      <c r="V851" t="str">
        <f>IF(C851="","",H851-InventoryTable[[#This Row],[Units Sold]])</f>
        <v/>
      </c>
      <c r="W851" t="str">
        <f t="shared" si="135"/>
        <v/>
      </c>
      <c r="X851" t="str">
        <f t="shared" si="136"/>
        <v/>
      </c>
      <c r="Y851" t="str">
        <f>IF(C851="","",IF(InventoryTable[[#This Row],[Stock Balance]]&lt;=0,"Sold Out",IF((InventoryTable[[#This Row],[Stock Balance]]/InventoryTable[[#This Row],[Total Pieces]])&lt;=0.25,"Low on Stocks","Available")))</f>
        <v/>
      </c>
    </row>
    <row r="852" spans="1:25" x14ac:dyDescent="0.3">
      <c r="A852" t="str">
        <f>IF(C852="","",_xlfn.CONCAT(LEFT(InventoryTable[[#This Row],[Category]],1),InventoryTable[[#This Row],[Product Pricing Type]],ROW()))</f>
        <v/>
      </c>
      <c r="H852" t="str">
        <f t="shared" si="127"/>
        <v/>
      </c>
      <c r="K852" t="str">
        <f t="shared" si="128"/>
        <v/>
      </c>
      <c r="N852" t="str">
        <f t="shared" si="129"/>
        <v/>
      </c>
      <c r="P852" t="str">
        <f t="shared" si="130"/>
        <v/>
      </c>
      <c r="Q852" s="4" t="str">
        <f t="shared" si="131"/>
        <v/>
      </c>
      <c r="R852" t="str">
        <f t="shared" si="132"/>
        <v/>
      </c>
      <c r="S852" t="str">
        <f t="shared" si="133"/>
        <v/>
      </c>
      <c r="T852" t="str">
        <f>IF(C852="","",InventoryTable[[#This Row],[Profit per Unit]]*InventoryTable[[#This Row],[Total Pieces]])</f>
        <v/>
      </c>
      <c r="U852" t="str">
        <f t="shared" si="134"/>
        <v/>
      </c>
      <c r="V852" t="str">
        <f>IF(C852="","",H852-InventoryTable[[#This Row],[Units Sold]])</f>
        <v/>
      </c>
      <c r="W852" t="str">
        <f t="shared" si="135"/>
        <v/>
      </c>
      <c r="X852" t="str">
        <f t="shared" si="136"/>
        <v/>
      </c>
      <c r="Y852" t="str">
        <f>IF(C852="","",IF(InventoryTable[[#This Row],[Stock Balance]]&lt;=0,"Sold Out",IF((InventoryTable[[#This Row],[Stock Balance]]/InventoryTable[[#This Row],[Total Pieces]])&lt;=0.25,"Low on Stocks","Available")))</f>
        <v/>
      </c>
    </row>
    <row r="853" spans="1:25" x14ac:dyDescent="0.3">
      <c r="A853" t="str">
        <f>IF(C853="","",_xlfn.CONCAT(LEFT(InventoryTable[[#This Row],[Category]],1),InventoryTable[[#This Row],[Product Pricing Type]],ROW()))</f>
        <v/>
      </c>
      <c r="H853" t="str">
        <f t="shared" si="127"/>
        <v/>
      </c>
      <c r="K853" t="str">
        <f t="shared" si="128"/>
        <v/>
      </c>
      <c r="N853" t="str">
        <f t="shared" si="129"/>
        <v/>
      </c>
      <c r="P853" t="str">
        <f t="shared" si="130"/>
        <v/>
      </c>
      <c r="Q853" s="4" t="str">
        <f t="shared" si="131"/>
        <v/>
      </c>
      <c r="R853" t="str">
        <f t="shared" si="132"/>
        <v/>
      </c>
      <c r="S853" t="str">
        <f t="shared" si="133"/>
        <v/>
      </c>
      <c r="T853" t="str">
        <f>IF(C853="","",InventoryTable[[#This Row],[Profit per Unit]]*InventoryTable[[#This Row],[Total Pieces]])</f>
        <v/>
      </c>
      <c r="U853" t="str">
        <f t="shared" si="134"/>
        <v/>
      </c>
      <c r="V853" t="str">
        <f>IF(C853="","",H853-InventoryTable[[#This Row],[Units Sold]])</f>
        <v/>
      </c>
      <c r="W853" t="str">
        <f t="shared" si="135"/>
        <v/>
      </c>
      <c r="X853" t="str">
        <f t="shared" si="136"/>
        <v/>
      </c>
      <c r="Y853" t="str">
        <f>IF(C853="","",IF(InventoryTable[[#This Row],[Stock Balance]]&lt;=0,"Sold Out",IF((InventoryTable[[#This Row],[Stock Balance]]/InventoryTable[[#This Row],[Total Pieces]])&lt;=0.25,"Low on Stocks","Available")))</f>
        <v/>
      </c>
    </row>
    <row r="854" spans="1:25" x14ac:dyDescent="0.3">
      <c r="A854" t="str">
        <f>IF(C854="","",_xlfn.CONCAT(LEFT(InventoryTable[[#This Row],[Category]],1),InventoryTable[[#This Row],[Product Pricing Type]],ROW()))</f>
        <v/>
      </c>
      <c r="H854" t="str">
        <f t="shared" si="127"/>
        <v/>
      </c>
      <c r="K854" t="str">
        <f t="shared" si="128"/>
        <v/>
      </c>
      <c r="N854" t="str">
        <f t="shared" si="129"/>
        <v/>
      </c>
      <c r="P854" t="str">
        <f t="shared" si="130"/>
        <v/>
      </c>
      <c r="Q854" s="4" t="str">
        <f t="shared" si="131"/>
        <v/>
      </c>
      <c r="R854" t="str">
        <f t="shared" si="132"/>
        <v/>
      </c>
      <c r="S854" t="str">
        <f t="shared" si="133"/>
        <v/>
      </c>
      <c r="T854" t="str">
        <f>IF(C854="","",InventoryTable[[#This Row],[Profit per Unit]]*InventoryTable[[#This Row],[Total Pieces]])</f>
        <v/>
      </c>
      <c r="U854" t="str">
        <f t="shared" si="134"/>
        <v/>
      </c>
      <c r="V854" t="str">
        <f>IF(C854="","",H854-InventoryTable[[#This Row],[Units Sold]])</f>
        <v/>
      </c>
      <c r="W854" t="str">
        <f t="shared" si="135"/>
        <v/>
      </c>
      <c r="X854" t="str">
        <f t="shared" si="136"/>
        <v/>
      </c>
      <c r="Y854" t="str">
        <f>IF(C854="","",IF(InventoryTable[[#This Row],[Stock Balance]]&lt;=0,"Sold Out",IF((InventoryTable[[#This Row],[Stock Balance]]/InventoryTable[[#This Row],[Total Pieces]])&lt;=0.25,"Low on Stocks","Available")))</f>
        <v/>
      </c>
    </row>
    <row r="855" spans="1:25" x14ac:dyDescent="0.3">
      <c r="A855" t="str">
        <f>IF(C855="","",_xlfn.CONCAT(LEFT(InventoryTable[[#This Row],[Category]],1),InventoryTable[[#This Row],[Product Pricing Type]],ROW()))</f>
        <v/>
      </c>
      <c r="H855" t="str">
        <f t="shared" si="127"/>
        <v/>
      </c>
      <c r="K855" t="str">
        <f t="shared" si="128"/>
        <v/>
      </c>
      <c r="N855" t="str">
        <f t="shared" si="129"/>
        <v/>
      </c>
      <c r="P855" t="str">
        <f t="shared" si="130"/>
        <v/>
      </c>
      <c r="Q855" s="4" t="str">
        <f t="shared" si="131"/>
        <v/>
      </c>
      <c r="R855" t="str">
        <f t="shared" si="132"/>
        <v/>
      </c>
      <c r="S855" t="str">
        <f t="shared" si="133"/>
        <v/>
      </c>
      <c r="T855" t="str">
        <f>IF(C855="","",InventoryTable[[#This Row],[Profit per Unit]]*InventoryTable[[#This Row],[Total Pieces]])</f>
        <v/>
      </c>
      <c r="U855" t="str">
        <f t="shared" si="134"/>
        <v/>
      </c>
      <c r="V855" t="str">
        <f>IF(C855="","",H855-InventoryTable[[#This Row],[Units Sold]])</f>
        <v/>
      </c>
      <c r="W855" t="str">
        <f t="shared" si="135"/>
        <v/>
      </c>
      <c r="X855" t="str">
        <f t="shared" si="136"/>
        <v/>
      </c>
      <c r="Y855" t="str">
        <f>IF(C855="","",IF(InventoryTable[[#This Row],[Stock Balance]]&lt;=0,"Sold Out",IF((InventoryTable[[#This Row],[Stock Balance]]/InventoryTable[[#This Row],[Total Pieces]])&lt;=0.25,"Low on Stocks","Available")))</f>
        <v/>
      </c>
    </row>
    <row r="856" spans="1:25" x14ac:dyDescent="0.3">
      <c r="A856" t="str">
        <f>IF(C856="","",_xlfn.CONCAT(LEFT(InventoryTable[[#This Row],[Category]],1),InventoryTable[[#This Row],[Product Pricing Type]],ROW()))</f>
        <v/>
      </c>
      <c r="H856" t="str">
        <f t="shared" si="127"/>
        <v/>
      </c>
      <c r="K856" t="str">
        <f t="shared" si="128"/>
        <v/>
      </c>
      <c r="N856" t="str">
        <f t="shared" si="129"/>
        <v/>
      </c>
      <c r="P856" t="str">
        <f t="shared" si="130"/>
        <v/>
      </c>
      <c r="Q856" s="4" t="str">
        <f t="shared" si="131"/>
        <v/>
      </c>
      <c r="R856" t="str">
        <f t="shared" si="132"/>
        <v/>
      </c>
      <c r="S856" t="str">
        <f t="shared" si="133"/>
        <v/>
      </c>
      <c r="T856" t="str">
        <f>IF(C856="","",InventoryTable[[#This Row],[Profit per Unit]]*InventoryTable[[#This Row],[Total Pieces]])</f>
        <v/>
      </c>
      <c r="U856" t="str">
        <f t="shared" si="134"/>
        <v/>
      </c>
      <c r="V856" t="str">
        <f>IF(C856="","",H856-InventoryTable[[#This Row],[Units Sold]])</f>
        <v/>
      </c>
      <c r="W856" t="str">
        <f t="shared" si="135"/>
        <v/>
      </c>
      <c r="X856" t="str">
        <f t="shared" si="136"/>
        <v/>
      </c>
      <c r="Y856" t="str">
        <f>IF(C856="","",IF(InventoryTable[[#This Row],[Stock Balance]]&lt;=0,"Sold Out",IF((InventoryTable[[#This Row],[Stock Balance]]/InventoryTable[[#This Row],[Total Pieces]])&lt;=0.25,"Low on Stocks","Available")))</f>
        <v/>
      </c>
    </row>
    <row r="857" spans="1:25" x14ac:dyDescent="0.3">
      <c r="A857" t="str">
        <f>IF(C857="","",_xlfn.CONCAT(LEFT(InventoryTable[[#This Row],[Category]],1),InventoryTable[[#This Row],[Product Pricing Type]],ROW()))</f>
        <v/>
      </c>
      <c r="H857" t="str">
        <f t="shared" si="127"/>
        <v/>
      </c>
      <c r="K857" t="str">
        <f t="shared" si="128"/>
        <v/>
      </c>
      <c r="N857" t="str">
        <f t="shared" si="129"/>
        <v/>
      </c>
      <c r="P857" t="str">
        <f t="shared" si="130"/>
        <v/>
      </c>
      <c r="Q857" s="4" t="str">
        <f t="shared" si="131"/>
        <v/>
      </c>
      <c r="R857" t="str">
        <f t="shared" si="132"/>
        <v/>
      </c>
      <c r="S857" t="str">
        <f t="shared" si="133"/>
        <v/>
      </c>
      <c r="T857" t="str">
        <f>IF(C857="","",InventoryTable[[#This Row],[Profit per Unit]]*InventoryTable[[#This Row],[Total Pieces]])</f>
        <v/>
      </c>
      <c r="U857" t="str">
        <f t="shared" si="134"/>
        <v/>
      </c>
      <c r="V857" t="str">
        <f>IF(C857="","",H857-InventoryTable[[#This Row],[Units Sold]])</f>
        <v/>
      </c>
      <c r="W857" t="str">
        <f t="shared" si="135"/>
        <v/>
      </c>
      <c r="X857" t="str">
        <f t="shared" si="136"/>
        <v/>
      </c>
      <c r="Y857" t="str">
        <f>IF(C857="","",IF(InventoryTable[[#This Row],[Stock Balance]]&lt;=0,"Sold Out",IF((InventoryTable[[#This Row],[Stock Balance]]/InventoryTable[[#This Row],[Total Pieces]])&lt;=0.25,"Low on Stocks","Available")))</f>
        <v/>
      </c>
    </row>
    <row r="858" spans="1:25" x14ac:dyDescent="0.3">
      <c r="A858" t="str">
        <f>IF(C858="","",_xlfn.CONCAT(LEFT(InventoryTable[[#This Row],[Category]],1),InventoryTable[[#This Row],[Product Pricing Type]],ROW()))</f>
        <v/>
      </c>
      <c r="H858" t="str">
        <f t="shared" si="127"/>
        <v/>
      </c>
      <c r="K858" t="str">
        <f t="shared" si="128"/>
        <v/>
      </c>
      <c r="N858" t="str">
        <f t="shared" si="129"/>
        <v/>
      </c>
      <c r="P858" t="str">
        <f t="shared" si="130"/>
        <v/>
      </c>
      <c r="Q858" s="4" t="str">
        <f t="shared" si="131"/>
        <v/>
      </c>
      <c r="R858" t="str">
        <f t="shared" si="132"/>
        <v/>
      </c>
      <c r="S858" t="str">
        <f t="shared" si="133"/>
        <v/>
      </c>
      <c r="T858" t="str">
        <f>IF(C858="","",InventoryTable[[#This Row],[Profit per Unit]]*InventoryTable[[#This Row],[Total Pieces]])</f>
        <v/>
      </c>
      <c r="U858" t="str">
        <f t="shared" si="134"/>
        <v/>
      </c>
      <c r="V858" t="str">
        <f>IF(C858="","",H858-InventoryTable[[#This Row],[Units Sold]])</f>
        <v/>
      </c>
      <c r="W858" t="str">
        <f t="shared" si="135"/>
        <v/>
      </c>
      <c r="X858" t="str">
        <f t="shared" si="136"/>
        <v/>
      </c>
      <c r="Y858" t="str">
        <f>IF(C858="","",IF(InventoryTable[[#This Row],[Stock Balance]]&lt;=0,"Sold Out",IF((InventoryTable[[#This Row],[Stock Balance]]/InventoryTable[[#This Row],[Total Pieces]])&lt;=0.25,"Low on Stocks","Available")))</f>
        <v/>
      </c>
    </row>
    <row r="859" spans="1:25" x14ac:dyDescent="0.3">
      <c r="A859" t="str">
        <f>IF(C859="","",_xlfn.CONCAT(LEFT(InventoryTable[[#This Row],[Category]],1),InventoryTable[[#This Row],[Product Pricing Type]],ROW()))</f>
        <v/>
      </c>
      <c r="H859" t="str">
        <f t="shared" si="127"/>
        <v/>
      </c>
      <c r="K859" t="str">
        <f t="shared" si="128"/>
        <v/>
      </c>
      <c r="N859" t="str">
        <f t="shared" si="129"/>
        <v/>
      </c>
      <c r="P859" t="str">
        <f t="shared" si="130"/>
        <v/>
      </c>
      <c r="Q859" s="4" t="str">
        <f t="shared" si="131"/>
        <v/>
      </c>
      <c r="R859" t="str">
        <f t="shared" si="132"/>
        <v/>
      </c>
      <c r="S859" t="str">
        <f t="shared" si="133"/>
        <v/>
      </c>
      <c r="T859" t="str">
        <f>IF(C859="","",InventoryTable[[#This Row],[Profit per Unit]]*InventoryTable[[#This Row],[Total Pieces]])</f>
        <v/>
      </c>
      <c r="U859" t="str">
        <f t="shared" si="134"/>
        <v/>
      </c>
      <c r="V859" t="str">
        <f>IF(C859="","",H859-InventoryTable[[#This Row],[Units Sold]])</f>
        <v/>
      </c>
      <c r="W859" t="str">
        <f t="shared" si="135"/>
        <v/>
      </c>
      <c r="X859" t="str">
        <f t="shared" si="136"/>
        <v/>
      </c>
      <c r="Y859" t="str">
        <f>IF(C859="","",IF(InventoryTable[[#This Row],[Stock Balance]]&lt;=0,"Sold Out",IF((InventoryTable[[#This Row],[Stock Balance]]/InventoryTable[[#This Row],[Total Pieces]])&lt;=0.25,"Low on Stocks","Available")))</f>
        <v/>
      </c>
    </row>
    <row r="860" spans="1:25" x14ac:dyDescent="0.3">
      <c r="A860" t="str">
        <f>IF(C860="","",_xlfn.CONCAT(LEFT(InventoryTable[[#This Row],[Category]],1),InventoryTable[[#This Row],[Product Pricing Type]],ROW()))</f>
        <v/>
      </c>
      <c r="H860" t="str">
        <f t="shared" si="127"/>
        <v/>
      </c>
      <c r="K860" t="str">
        <f t="shared" si="128"/>
        <v/>
      </c>
      <c r="N860" t="str">
        <f t="shared" si="129"/>
        <v/>
      </c>
      <c r="P860" t="str">
        <f t="shared" si="130"/>
        <v/>
      </c>
      <c r="Q860" s="4" t="str">
        <f t="shared" si="131"/>
        <v/>
      </c>
      <c r="R860" t="str">
        <f t="shared" si="132"/>
        <v/>
      </c>
      <c r="S860" t="str">
        <f t="shared" si="133"/>
        <v/>
      </c>
      <c r="T860" t="str">
        <f>IF(C860="","",InventoryTable[[#This Row],[Profit per Unit]]*InventoryTable[[#This Row],[Total Pieces]])</f>
        <v/>
      </c>
      <c r="U860" t="str">
        <f t="shared" si="134"/>
        <v/>
      </c>
      <c r="V860" t="str">
        <f>IF(C860="","",H860-InventoryTable[[#This Row],[Units Sold]])</f>
        <v/>
      </c>
      <c r="W860" t="str">
        <f t="shared" si="135"/>
        <v/>
      </c>
      <c r="X860" t="str">
        <f t="shared" si="136"/>
        <v/>
      </c>
      <c r="Y860" t="str">
        <f>IF(C860="","",IF(InventoryTable[[#This Row],[Stock Balance]]&lt;=0,"Sold Out",IF((InventoryTable[[#This Row],[Stock Balance]]/InventoryTable[[#This Row],[Total Pieces]])&lt;=0.25,"Low on Stocks","Available")))</f>
        <v/>
      </c>
    </row>
    <row r="861" spans="1:25" x14ac:dyDescent="0.3">
      <c r="A861" t="str">
        <f>IF(C861="","",_xlfn.CONCAT(LEFT(InventoryTable[[#This Row],[Category]],1),InventoryTable[[#This Row],[Product Pricing Type]],ROW()))</f>
        <v/>
      </c>
      <c r="H861" t="str">
        <f t="shared" si="127"/>
        <v/>
      </c>
      <c r="K861" t="str">
        <f t="shared" si="128"/>
        <v/>
      </c>
      <c r="N861" t="str">
        <f t="shared" si="129"/>
        <v/>
      </c>
      <c r="P861" t="str">
        <f t="shared" si="130"/>
        <v/>
      </c>
      <c r="Q861" s="4" t="str">
        <f t="shared" si="131"/>
        <v/>
      </c>
      <c r="R861" t="str">
        <f t="shared" si="132"/>
        <v/>
      </c>
      <c r="S861" t="str">
        <f t="shared" si="133"/>
        <v/>
      </c>
      <c r="T861" t="str">
        <f>IF(C861="","",InventoryTable[[#This Row],[Profit per Unit]]*InventoryTable[[#This Row],[Total Pieces]])</f>
        <v/>
      </c>
      <c r="U861" t="str">
        <f t="shared" si="134"/>
        <v/>
      </c>
      <c r="V861" t="str">
        <f>IF(C861="","",H861-InventoryTable[[#This Row],[Units Sold]])</f>
        <v/>
      </c>
      <c r="W861" t="str">
        <f t="shared" si="135"/>
        <v/>
      </c>
      <c r="X861" t="str">
        <f t="shared" si="136"/>
        <v/>
      </c>
      <c r="Y861" t="str">
        <f>IF(C861="","",IF(InventoryTable[[#This Row],[Stock Balance]]&lt;=0,"Sold Out",IF((InventoryTable[[#This Row],[Stock Balance]]/InventoryTable[[#This Row],[Total Pieces]])&lt;=0.25,"Low on Stocks","Available")))</f>
        <v/>
      </c>
    </row>
    <row r="862" spans="1:25" x14ac:dyDescent="0.3">
      <c r="A862" t="str">
        <f>IF(C862="","",_xlfn.CONCAT(LEFT(InventoryTable[[#This Row],[Category]],1),InventoryTable[[#This Row],[Product Pricing Type]],ROW()))</f>
        <v/>
      </c>
      <c r="H862" t="str">
        <f t="shared" si="127"/>
        <v/>
      </c>
      <c r="K862" t="str">
        <f t="shared" si="128"/>
        <v/>
      </c>
      <c r="N862" t="str">
        <f t="shared" si="129"/>
        <v/>
      </c>
      <c r="P862" t="str">
        <f t="shared" si="130"/>
        <v/>
      </c>
      <c r="Q862" s="4" t="str">
        <f t="shared" si="131"/>
        <v/>
      </c>
      <c r="R862" t="str">
        <f t="shared" si="132"/>
        <v/>
      </c>
      <c r="S862" t="str">
        <f t="shared" si="133"/>
        <v/>
      </c>
      <c r="T862" t="str">
        <f>IF(C862="","",InventoryTable[[#This Row],[Profit per Unit]]*InventoryTable[[#This Row],[Total Pieces]])</f>
        <v/>
      </c>
      <c r="U862" t="str">
        <f t="shared" si="134"/>
        <v/>
      </c>
      <c r="V862" t="str">
        <f>IF(C862="","",H862-InventoryTable[[#This Row],[Units Sold]])</f>
        <v/>
      </c>
      <c r="W862" t="str">
        <f t="shared" si="135"/>
        <v/>
      </c>
      <c r="X862" t="str">
        <f t="shared" si="136"/>
        <v/>
      </c>
      <c r="Y862" t="str">
        <f>IF(C862="","",IF(InventoryTable[[#This Row],[Stock Balance]]&lt;=0,"Sold Out",IF((InventoryTable[[#This Row],[Stock Balance]]/InventoryTable[[#This Row],[Total Pieces]])&lt;=0.25,"Low on Stocks","Available")))</f>
        <v/>
      </c>
    </row>
    <row r="863" spans="1:25" x14ac:dyDescent="0.3">
      <c r="A863" t="str">
        <f>IF(C863="","",_xlfn.CONCAT(LEFT(InventoryTable[[#This Row],[Category]],1),InventoryTable[[#This Row],[Product Pricing Type]],ROW()))</f>
        <v/>
      </c>
      <c r="H863" t="str">
        <f t="shared" si="127"/>
        <v/>
      </c>
      <c r="K863" t="str">
        <f t="shared" si="128"/>
        <v/>
      </c>
      <c r="N863" t="str">
        <f t="shared" si="129"/>
        <v/>
      </c>
      <c r="P863" t="str">
        <f t="shared" si="130"/>
        <v/>
      </c>
      <c r="Q863" s="4" t="str">
        <f t="shared" si="131"/>
        <v/>
      </c>
      <c r="R863" t="str">
        <f t="shared" si="132"/>
        <v/>
      </c>
      <c r="S863" t="str">
        <f t="shared" si="133"/>
        <v/>
      </c>
      <c r="T863" t="str">
        <f>IF(C863="","",InventoryTable[[#This Row],[Profit per Unit]]*InventoryTable[[#This Row],[Total Pieces]])</f>
        <v/>
      </c>
      <c r="U863" t="str">
        <f t="shared" si="134"/>
        <v/>
      </c>
      <c r="V863" t="str">
        <f>IF(C863="","",H863-InventoryTable[[#This Row],[Units Sold]])</f>
        <v/>
      </c>
      <c r="W863" t="str">
        <f t="shared" si="135"/>
        <v/>
      </c>
      <c r="X863" t="str">
        <f t="shared" si="136"/>
        <v/>
      </c>
      <c r="Y863" t="str">
        <f>IF(C863="","",IF(InventoryTable[[#This Row],[Stock Balance]]&lt;=0,"Sold Out",IF((InventoryTable[[#This Row],[Stock Balance]]/InventoryTable[[#This Row],[Total Pieces]])&lt;=0.25,"Low on Stocks","Available")))</f>
        <v/>
      </c>
    </row>
    <row r="864" spans="1:25" x14ac:dyDescent="0.3">
      <c r="A864" t="str">
        <f>IF(C864="","",_xlfn.CONCAT(LEFT(InventoryTable[[#This Row],[Category]],1),InventoryTable[[#This Row],[Product Pricing Type]],ROW()))</f>
        <v/>
      </c>
      <c r="H864" t="str">
        <f t="shared" si="127"/>
        <v/>
      </c>
      <c r="K864" t="str">
        <f t="shared" si="128"/>
        <v/>
      </c>
      <c r="N864" t="str">
        <f t="shared" si="129"/>
        <v/>
      </c>
      <c r="P864" t="str">
        <f t="shared" si="130"/>
        <v/>
      </c>
      <c r="Q864" s="4" t="str">
        <f t="shared" si="131"/>
        <v/>
      </c>
      <c r="R864" t="str">
        <f t="shared" si="132"/>
        <v/>
      </c>
      <c r="S864" t="str">
        <f t="shared" si="133"/>
        <v/>
      </c>
      <c r="T864" t="str">
        <f>IF(C864="","",InventoryTable[[#This Row],[Profit per Unit]]*InventoryTable[[#This Row],[Total Pieces]])</f>
        <v/>
      </c>
      <c r="U864" t="str">
        <f t="shared" si="134"/>
        <v/>
      </c>
      <c r="V864" t="str">
        <f>IF(C864="","",H864-InventoryTable[[#This Row],[Units Sold]])</f>
        <v/>
      </c>
      <c r="W864" t="str">
        <f t="shared" si="135"/>
        <v/>
      </c>
      <c r="X864" t="str">
        <f t="shared" si="136"/>
        <v/>
      </c>
      <c r="Y864" t="str">
        <f>IF(C864="","",IF(InventoryTable[[#This Row],[Stock Balance]]&lt;=0,"Sold Out",IF((InventoryTable[[#This Row],[Stock Balance]]/InventoryTable[[#This Row],[Total Pieces]])&lt;=0.25,"Low on Stocks","Available")))</f>
        <v/>
      </c>
    </row>
    <row r="865" spans="1:25" x14ac:dyDescent="0.3">
      <c r="A865" t="str">
        <f>IF(C865="","",_xlfn.CONCAT(LEFT(InventoryTable[[#This Row],[Category]],1),InventoryTable[[#This Row],[Product Pricing Type]],ROW()))</f>
        <v/>
      </c>
      <c r="H865" t="str">
        <f t="shared" ref="H865:H928" si="137">IF(C865="","",G865*F865)</f>
        <v/>
      </c>
      <c r="K865" t="str">
        <f t="shared" ref="K865:K928" si="138">IF(C865="","",IF(J865=1,I865/H865,I865*G865*F865))</f>
        <v/>
      </c>
      <c r="N865" t="str">
        <f t="shared" ref="N865:N928" si="139">IF(C865="","",IF(J865=1,K865+(K865*M865),I865+(I865*M865)))</f>
        <v/>
      </c>
      <c r="P865" t="str">
        <f t="shared" ref="P865:P928" si="140">IF(C865="","",N865+(N865*O865))</f>
        <v/>
      </c>
      <c r="Q865" s="4" t="str">
        <f t="shared" ref="Q865:Q928" si="141">IF(C865="","",ROUNDUP(P865,0))</f>
        <v/>
      </c>
      <c r="R865" t="str">
        <f t="shared" ref="R865:R928" si="142">IF(C865="","")</f>
        <v/>
      </c>
      <c r="S865" t="str">
        <f t="shared" ref="S865:S928" si="143">IF(C865="","",IF(COUNTIF(C865,"*Fixed*")&gt;0,(K865-R865)/H865,IF(J865=1,Q865-K865,Q865-I865)))</f>
        <v/>
      </c>
      <c r="T865" t="str">
        <f>IF(C865="","",InventoryTable[[#This Row],[Profit per Unit]]*InventoryTable[[#This Row],[Total Pieces]])</f>
        <v/>
      </c>
      <c r="U865" t="str">
        <f t="shared" si="134"/>
        <v/>
      </c>
      <c r="V865" t="str">
        <f>IF(C865="","",H865-InventoryTable[[#This Row],[Units Sold]])</f>
        <v/>
      </c>
      <c r="W865" t="str">
        <f t="shared" si="135"/>
        <v/>
      </c>
      <c r="X865" t="str">
        <f t="shared" si="136"/>
        <v/>
      </c>
      <c r="Y865" t="str">
        <f>IF(C865="","",IF(InventoryTable[[#This Row],[Stock Balance]]&lt;=0,"Sold Out",IF((InventoryTable[[#This Row],[Stock Balance]]/InventoryTable[[#This Row],[Total Pieces]])&lt;=0.25,"Low on Stocks","Available")))</f>
        <v/>
      </c>
    </row>
    <row r="866" spans="1:25" x14ac:dyDescent="0.3">
      <c r="A866" t="str">
        <f>IF(C866="","",_xlfn.CONCAT(LEFT(InventoryTable[[#This Row],[Category]],1),InventoryTable[[#This Row],[Product Pricing Type]],ROW()))</f>
        <v/>
      </c>
      <c r="H866" t="str">
        <f t="shared" si="137"/>
        <v/>
      </c>
      <c r="K866" t="str">
        <f t="shared" si="138"/>
        <v/>
      </c>
      <c r="N866" t="str">
        <f t="shared" si="139"/>
        <v/>
      </c>
      <c r="P866" t="str">
        <f t="shared" si="140"/>
        <v/>
      </c>
      <c r="Q866" s="4" t="str">
        <f t="shared" si="141"/>
        <v/>
      </c>
      <c r="R866" t="str">
        <f t="shared" si="142"/>
        <v/>
      </c>
      <c r="S866" t="str">
        <f t="shared" si="143"/>
        <v/>
      </c>
      <c r="T866" t="str">
        <f>IF(C866="","",InventoryTable[[#This Row],[Profit per Unit]]*InventoryTable[[#This Row],[Total Pieces]])</f>
        <v/>
      </c>
      <c r="U866" t="str">
        <f t="shared" si="134"/>
        <v/>
      </c>
      <c r="V866" t="str">
        <f>IF(C866="","",H866-InventoryTable[[#This Row],[Units Sold]])</f>
        <v/>
      </c>
      <c r="W866" t="str">
        <f t="shared" si="135"/>
        <v/>
      </c>
      <c r="X866" t="str">
        <f t="shared" si="136"/>
        <v/>
      </c>
      <c r="Y866" t="str">
        <f>IF(C866="","",IF(InventoryTable[[#This Row],[Stock Balance]]&lt;=0,"Sold Out",IF((InventoryTable[[#This Row],[Stock Balance]]/InventoryTable[[#This Row],[Total Pieces]])&lt;=0.25,"Low on Stocks","Available")))</f>
        <v/>
      </c>
    </row>
    <row r="867" spans="1:25" x14ac:dyDescent="0.3">
      <c r="A867" t="str">
        <f>IF(C867="","",_xlfn.CONCAT(LEFT(InventoryTable[[#This Row],[Category]],1),InventoryTable[[#This Row],[Product Pricing Type]],ROW()))</f>
        <v/>
      </c>
      <c r="H867" t="str">
        <f t="shared" si="137"/>
        <v/>
      </c>
      <c r="K867" t="str">
        <f t="shared" si="138"/>
        <v/>
      </c>
      <c r="N867" t="str">
        <f t="shared" si="139"/>
        <v/>
      </c>
      <c r="P867" t="str">
        <f t="shared" si="140"/>
        <v/>
      </c>
      <c r="Q867" s="4" t="str">
        <f t="shared" si="141"/>
        <v/>
      </c>
      <c r="R867" t="str">
        <f t="shared" si="142"/>
        <v/>
      </c>
      <c r="S867" t="str">
        <f t="shared" si="143"/>
        <v/>
      </c>
      <c r="T867" t="str">
        <f>IF(C867="","",InventoryTable[[#This Row],[Profit per Unit]]*InventoryTable[[#This Row],[Total Pieces]])</f>
        <v/>
      </c>
      <c r="U867" t="str">
        <f t="shared" si="134"/>
        <v/>
      </c>
      <c r="V867" t="str">
        <f>IF(C867="","",H867-InventoryTable[[#This Row],[Units Sold]])</f>
        <v/>
      </c>
      <c r="W867" t="str">
        <f t="shared" si="135"/>
        <v/>
      </c>
      <c r="X867" t="str">
        <f t="shared" si="136"/>
        <v/>
      </c>
      <c r="Y867" t="str">
        <f>IF(C867="","",IF(InventoryTable[[#This Row],[Stock Balance]]&lt;=0,"Sold Out",IF((InventoryTable[[#This Row],[Stock Balance]]/InventoryTable[[#This Row],[Total Pieces]])&lt;=0.25,"Low on Stocks","Available")))</f>
        <v/>
      </c>
    </row>
    <row r="868" spans="1:25" x14ac:dyDescent="0.3">
      <c r="A868" t="str">
        <f>IF(C868="","",_xlfn.CONCAT(LEFT(InventoryTable[[#This Row],[Category]],1),InventoryTable[[#This Row],[Product Pricing Type]],ROW()))</f>
        <v/>
      </c>
      <c r="H868" t="str">
        <f t="shared" si="137"/>
        <v/>
      </c>
      <c r="K868" t="str">
        <f t="shared" si="138"/>
        <v/>
      </c>
      <c r="N868" t="str">
        <f t="shared" si="139"/>
        <v/>
      </c>
      <c r="P868" t="str">
        <f t="shared" si="140"/>
        <v/>
      </c>
      <c r="Q868" s="4" t="str">
        <f t="shared" si="141"/>
        <v/>
      </c>
      <c r="R868" t="str">
        <f t="shared" si="142"/>
        <v/>
      </c>
      <c r="S868" t="str">
        <f t="shared" si="143"/>
        <v/>
      </c>
      <c r="T868" t="str">
        <f>IF(C868="","",InventoryTable[[#This Row],[Profit per Unit]]*InventoryTable[[#This Row],[Total Pieces]])</f>
        <v/>
      </c>
      <c r="U868" t="str">
        <f t="shared" si="134"/>
        <v/>
      </c>
      <c r="V868" t="str">
        <f>IF(C868="","",H868-InventoryTable[[#This Row],[Units Sold]])</f>
        <v/>
      </c>
      <c r="W868" t="str">
        <f t="shared" si="135"/>
        <v/>
      </c>
      <c r="X868" t="str">
        <f t="shared" si="136"/>
        <v/>
      </c>
      <c r="Y868" t="str">
        <f>IF(C868="","",IF(InventoryTable[[#This Row],[Stock Balance]]&lt;=0,"Sold Out",IF((InventoryTable[[#This Row],[Stock Balance]]/InventoryTable[[#This Row],[Total Pieces]])&lt;=0.25,"Low on Stocks","Available")))</f>
        <v/>
      </c>
    </row>
    <row r="869" spans="1:25" x14ac:dyDescent="0.3">
      <c r="A869" t="str">
        <f>IF(C869="","",_xlfn.CONCAT(LEFT(InventoryTable[[#This Row],[Category]],1),InventoryTable[[#This Row],[Product Pricing Type]],ROW()))</f>
        <v/>
      </c>
      <c r="H869" t="str">
        <f t="shared" si="137"/>
        <v/>
      </c>
      <c r="K869" t="str">
        <f t="shared" si="138"/>
        <v/>
      </c>
      <c r="N869" t="str">
        <f t="shared" si="139"/>
        <v/>
      </c>
      <c r="P869" t="str">
        <f t="shared" si="140"/>
        <v/>
      </c>
      <c r="Q869" s="4" t="str">
        <f t="shared" si="141"/>
        <v/>
      </c>
      <c r="R869" t="str">
        <f t="shared" si="142"/>
        <v/>
      </c>
      <c r="S869" t="str">
        <f t="shared" si="143"/>
        <v/>
      </c>
      <c r="T869" t="str">
        <f>IF(C869="","",InventoryTable[[#This Row],[Profit per Unit]]*InventoryTable[[#This Row],[Total Pieces]])</f>
        <v/>
      </c>
      <c r="U869" t="str">
        <f t="shared" si="134"/>
        <v/>
      </c>
      <c r="V869" t="str">
        <f>IF(C869="","",H869-InventoryTable[[#This Row],[Units Sold]])</f>
        <v/>
      </c>
      <c r="W869" t="str">
        <f t="shared" si="135"/>
        <v/>
      </c>
      <c r="X869" t="str">
        <f t="shared" si="136"/>
        <v/>
      </c>
      <c r="Y869" t="str">
        <f>IF(C869="","",IF(InventoryTable[[#This Row],[Stock Balance]]&lt;=0,"Sold Out",IF((InventoryTable[[#This Row],[Stock Balance]]/InventoryTable[[#This Row],[Total Pieces]])&lt;=0.25,"Low on Stocks","Available")))</f>
        <v/>
      </c>
    </row>
    <row r="870" spans="1:25" x14ac:dyDescent="0.3">
      <c r="A870" t="str">
        <f>IF(C870="","",_xlfn.CONCAT(LEFT(InventoryTable[[#This Row],[Category]],1),InventoryTable[[#This Row],[Product Pricing Type]],ROW()))</f>
        <v/>
      </c>
      <c r="H870" t="str">
        <f t="shared" si="137"/>
        <v/>
      </c>
      <c r="K870" t="str">
        <f t="shared" si="138"/>
        <v/>
      </c>
      <c r="N870" t="str">
        <f t="shared" si="139"/>
        <v/>
      </c>
      <c r="P870" t="str">
        <f t="shared" si="140"/>
        <v/>
      </c>
      <c r="Q870" s="4" t="str">
        <f t="shared" si="141"/>
        <v/>
      </c>
      <c r="R870" t="str">
        <f t="shared" si="142"/>
        <v/>
      </c>
      <c r="S870" t="str">
        <f t="shared" si="143"/>
        <v/>
      </c>
      <c r="T870" t="str">
        <f>IF(C870="","",InventoryTable[[#This Row],[Profit per Unit]]*InventoryTable[[#This Row],[Total Pieces]])</f>
        <v/>
      </c>
      <c r="U870" t="str">
        <f t="shared" si="134"/>
        <v/>
      </c>
      <c r="V870" t="str">
        <f>IF(C870="","",H870-InventoryTable[[#This Row],[Units Sold]])</f>
        <v/>
      </c>
      <c r="W870" t="str">
        <f t="shared" si="135"/>
        <v/>
      </c>
      <c r="X870" t="str">
        <f t="shared" si="136"/>
        <v/>
      </c>
      <c r="Y870" t="str">
        <f>IF(C870="","",IF(InventoryTable[[#This Row],[Stock Balance]]&lt;=0,"Sold Out",IF((InventoryTable[[#This Row],[Stock Balance]]/InventoryTable[[#This Row],[Total Pieces]])&lt;=0.25,"Low on Stocks","Available")))</f>
        <v/>
      </c>
    </row>
    <row r="871" spans="1:25" x14ac:dyDescent="0.3">
      <c r="A871" t="str">
        <f>IF(C871="","",_xlfn.CONCAT(LEFT(InventoryTable[[#This Row],[Category]],1),InventoryTable[[#This Row],[Product Pricing Type]],ROW()))</f>
        <v/>
      </c>
      <c r="H871" t="str">
        <f t="shared" si="137"/>
        <v/>
      </c>
      <c r="K871" t="str">
        <f t="shared" si="138"/>
        <v/>
      </c>
      <c r="N871" t="str">
        <f t="shared" si="139"/>
        <v/>
      </c>
      <c r="P871" t="str">
        <f t="shared" si="140"/>
        <v/>
      </c>
      <c r="Q871" s="4" t="str">
        <f t="shared" si="141"/>
        <v/>
      </c>
      <c r="R871" t="str">
        <f t="shared" si="142"/>
        <v/>
      </c>
      <c r="S871" t="str">
        <f t="shared" si="143"/>
        <v/>
      </c>
      <c r="T871" t="str">
        <f>IF(C871="","",InventoryTable[[#This Row],[Profit per Unit]]*InventoryTable[[#This Row],[Total Pieces]])</f>
        <v/>
      </c>
      <c r="U871" t="str">
        <f t="shared" si="134"/>
        <v/>
      </c>
      <c r="V871" t="str">
        <f>IF(C871="","",H871-InventoryTable[[#This Row],[Units Sold]])</f>
        <v/>
      </c>
      <c r="W871" t="str">
        <f t="shared" si="135"/>
        <v/>
      </c>
      <c r="X871" t="str">
        <f t="shared" si="136"/>
        <v/>
      </c>
      <c r="Y871" t="str">
        <f>IF(C871="","",IF(InventoryTable[[#This Row],[Stock Balance]]&lt;=0,"Sold Out",IF((InventoryTable[[#This Row],[Stock Balance]]/InventoryTable[[#This Row],[Total Pieces]])&lt;=0.25,"Low on Stocks","Available")))</f>
        <v/>
      </c>
    </row>
    <row r="872" spans="1:25" x14ac:dyDescent="0.3">
      <c r="A872" t="str">
        <f>IF(C872="","",_xlfn.CONCAT(LEFT(InventoryTable[[#This Row],[Category]],1),InventoryTable[[#This Row],[Product Pricing Type]],ROW()))</f>
        <v/>
      </c>
      <c r="H872" t="str">
        <f t="shared" si="137"/>
        <v/>
      </c>
      <c r="K872" t="str">
        <f t="shared" si="138"/>
        <v/>
      </c>
      <c r="N872" t="str">
        <f t="shared" si="139"/>
        <v/>
      </c>
      <c r="P872" t="str">
        <f t="shared" si="140"/>
        <v/>
      </c>
      <c r="Q872" s="4" t="str">
        <f t="shared" si="141"/>
        <v/>
      </c>
      <c r="R872" t="str">
        <f t="shared" si="142"/>
        <v/>
      </c>
      <c r="S872" t="str">
        <f t="shared" si="143"/>
        <v/>
      </c>
      <c r="T872" t="str">
        <f>IF(C872="","",InventoryTable[[#This Row],[Profit per Unit]]*InventoryTable[[#This Row],[Total Pieces]])</f>
        <v/>
      </c>
      <c r="U872" t="str">
        <f t="shared" si="134"/>
        <v/>
      </c>
      <c r="V872" t="str">
        <f>IF(C872="","",H872-InventoryTable[[#This Row],[Units Sold]])</f>
        <v/>
      </c>
      <c r="W872" t="str">
        <f t="shared" si="135"/>
        <v/>
      </c>
      <c r="X872" t="str">
        <f t="shared" si="136"/>
        <v/>
      </c>
      <c r="Y872" t="str">
        <f>IF(C872="","",IF(InventoryTable[[#This Row],[Stock Balance]]&lt;=0,"Sold Out",IF((InventoryTable[[#This Row],[Stock Balance]]/InventoryTable[[#This Row],[Total Pieces]])&lt;=0.25,"Low on Stocks","Available")))</f>
        <v/>
      </c>
    </row>
    <row r="873" spans="1:25" x14ac:dyDescent="0.3">
      <c r="A873" t="str">
        <f>IF(C873="","",_xlfn.CONCAT(LEFT(InventoryTable[[#This Row],[Category]],1),InventoryTable[[#This Row],[Product Pricing Type]],ROW()))</f>
        <v/>
      </c>
      <c r="H873" t="str">
        <f t="shared" si="137"/>
        <v/>
      </c>
      <c r="K873" t="str">
        <f t="shared" si="138"/>
        <v/>
      </c>
      <c r="N873" t="str">
        <f t="shared" si="139"/>
        <v/>
      </c>
      <c r="P873" t="str">
        <f t="shared" si="140"/>
        <v/>
      </c>
      <c r="Q873" s="4" t="str">
        <f t="shared" si="141"/>
        <v/>
      </c>
      <c r="R873" t="str">
        <f t="shared" si="142"/>
        <v/>
      </c>
      <c r="S873" t="str">
        <f t="shared" si="143"/>
        <v/>
      </c>
      <c r="T873" t="str">
        <f>IF(C873="","",InventoryTable[[#This Row],[Profit per Unit]]*InventoryTable[[#This Row],[Total Pieces]])</f>
        <v/>
      </c>
      <c r="U873" t="str">
        <f t="shared" si="134"/>
        <v/>
      </c>
      <c r="V873" t="str">
        <f>IF(C873="","",H873-InventoryTable[[#This Row],[Units Sold]])</f>
        <v/>
      </c>
      <c r="W873" t="str">
        <f t="shared" si="135"/>
        <v/>
      </c>
      <c r="X873" t="str">
        <f t="shared" si="136"/>
        <v/>
      </c>
      <c r="Y873" t="str">
        <f>IF(C873="","",IF(InventoryTable[[#This Row],[Stock Balance]]&lt;=0,"Sold Out",IF((InventoryTable[[#This Row],[Stock Balance]]/InventoryTable[[#This Row],[Total Pieces]])&lt;=0.25,"Low on Stocks","Available")))</f>
        <v/>
      </c>
    </row>
    <row r="874" spans="1:25" x14ac:dyDescent="0.3">
      <c r="A874" t="str">
        <f>IF(C874="","",_xlfn.CONCAT(LEFT(InventoryTable[[#This Row],[Category]],1),InventoryTable[[#This Row],[Product Pricing Type]],ROW()))</f>
        <v/>
      </c>
      <c r="H874" t="str">
        <f t="shared" si="137"/>
        <v/>
      </c>
      <c r="K874" t="str">
        <f t="shared" si="138"/>
        <v/>
      </c>
      <c r="N874" t="str">
        <f t="shared" si="139"/>
        <v/>
      </c>
      <c r="P874" t="str">
        <f t="shared" si="140"/>
        <v/>
      </c>
      <c r="Q874" s="4" t="str">
        <f t="shared" si="141"/>
        <v/>
      </c>
      <c r="R874" t="str">
        <f t="shared" si="142"/>
        <v/>
      </c>
      <c r="S874" t="str">
        <f t="shared" si="143"/>
        <v/>
      </c>
      <c r="T874" t="str">
        <f>IF(C874="","",InventoryTable[[#This Row],[Profit per Unit]]*InventoryTable[[#This Row],[Total Pieces]])</f>
        <v/>
      </c>
      <c r="U874" t="str">
        <f t="shared" si="134"/>
        <v/>
      </c>
      <c r="V874" t="str">
        <f>IF(C874="","",H874-InventoryTable[[#This Row],[Units Sold]])</f>
        <v/>
      </c>
      <c r="W874" t="str">
        <f t="shared" si="135"/>
        <v/>
      </c>
      <c r="X874" t="str">
        <f t="shared" si="136"/>
        <v/>
      </c>
      <c r="Y874" t="str">
        <f>IF(C874="","",IF(InventoryTable[[#This Row],[Stock Balance]]&lt;=0,"Sold Out",IF((InventoryTable[[#This Row],[Stock Balance]]/InventoryTable[[#This Row],[Total Pieces]])&lt;=0.25,"Low on Stocks","Available")))</f>
        <v/>
      </c>
    </row>
    <row r="875" spans="1:25" x14ac:dyDescent="0.3">
      <c r="A875" t="str">
        <f>IF(C875="","",_xlfn.CONCAT(LEFT(InventoryTable[[#This Row],[Category]],1),InventoryTable[[#This Row],[Product Pricing Type]],ROW()))</f>
        <v/>
      </c>
      <c r="H875" t="str">
        <f t="shared" si="137"/>
        <v/>
      </c>
      <c r="K875" t="str">
        <f t="shared" si="138"/>
        <v/>
      </c>
      <c r="N875" t="str">
        <f t="shared" si="139"/>
        <v/>
      </c>
      <c r="P875" t="str">
        <f t="shared" si="140"/>
        <v/>
      </c>
      <c r="Q875" s="4" t="str">
        <f t="shared" si="141"/>
        <v/>
      </c>
      <c r="R875" t="str">
        <f t="shared" si="142"/>
        <v/>
      </c>
      <c r="S875" t="str">
        <f t="shared" si="143"/>
        <v/>
      </c>
      <c r="T875" t="str">
        <f>IF(C875="","",InventoryTable[[#This Row],[Profit per Unit]]*InventoryTable[[#This Row],[Total Pieces]])</f>
        <v/>
      </c>
      <c r="U875" t="str">
        <f t="shared" si="134"/>
        <v/>
      </c>
      <c r="V875" t="str">
        <f>IF(C875="","",H875-InventoryTable[[#This Row],[Units Sold]])</f>
        <v/>
      </c>
      <c r="W875" t="str">
        <f t="shared" si="135"/>
        <v/>
      </c>
      <c r="X875" t="str">
        <f t="shared" si="136"/>
        <v/>
      </c>
      <c r="Y875" t="str">
        <f>IF(C875="","",IF(InventoryTable[[#This Row],[Stock Balance]]&lt;=0,"Sold Out",IF((InventoryTable[[#This Row],[Stock Balance]]/InventoryTable[[#This Row],[Total Pieces]])&lt;=0.25,"Low on Stocks","Available")))</f>
        <v/>
      </c>
    </row>
    <row r="876" spans="1:25" x14ac:dyDescent="0.3">
      <c r="A876" t="str">
        <f>IF(C876="","",_xlfn.CONCAT(LEFT(InventoryTable[[#This Row],[Category]],1),InventoryTable[[#This Row],[Product Pricing Type]],ROW()))</f>
        <v/>
      </c>
      <c r="H876" t="str">
        <f t="shared" si="137"/>
        <v/>
      </c>
      <c r="K876" t="str">
        <f t="shared" si="138"/>
        <v/>
      </c>
      <c r="N876" t="str">
        <f t="shared" si="139"/>
        <v/>
      </c>
      <c r="P876" t="str">
        <f t="shared" si="140"/>
        <v/>
      </c>
      <c r="Q876" s="4" t="str">
        <f t="shared" si="141"/>
        <v/>
      </c>
      <c r="R876" t="str">
        <f t="shared" si="142"/>
        <v/>
      </c>
      <c r="S876" t="str">
        <f t="shared" si="143"/>
        <v/>
      </c>
      <c r="T876" t="str">
        <f>IF(C876="","",InventoryTable[[#This Row],[Profit per Unit]]*InventoryTable[[#This Row],[Total Pieces]])</f>
        <v/>
      </c>
      <c r="U876" t="str">
        <f t="shared" si="134"/>
        <v/>
      </c>
      <c r="V876" t="str">
        <f>IF(C876="","",H876-InventoryTable[[#This Row],[Units Sold]])</f>
        <v/>
      </c>
      <c r="W876" t="str">
        <f t="shared" si="135"/>
        <v/>
      </c>
      <c r="X876" t="str">
        <f t="shared" si="136"/>
        <v/>
      </c>
      <c r="Y876" t="str">
        <f>IF(C876="","",IF(InventoryTable[[#This Row],[Stock Balance]]&lt;=0,"Sold Out",IF((InventoryTable[[#This Row],[Stock Balance]]/InventoryTable[[#This Row],[Total Pieces]])&lt;=0.25,"Low on Stocks","Available")))</f>
        <v/>
      </c>
    </row>
    <row r="877" spans="1:25" x14ac:dyDescent="0.3">
      <c r="A877" t="str">
        <f>IF(C877="","",_xlfn.CONCAT(LEFT(InventoryTable[[#This Row],[Category]],1),InventoryTable[[#This Row],[Product Pricing Type]],ROW()))</f>
        <v/>
      </c>
      <c r="H877" t="str">
        <f t="shared" si="137"/>
        <v/>
      </c>
      <c r="K877" t="str">
        <f t="shared" si="138"/>
        <v/>
      </c>
      <c r="N877" t="str">
        <f t="shared" si="139"/>
        <v/>
      </c>
      <c r="P877" t="str">
        <f t="shared" si="140"/>
        <v/>
      </c>
      <c r="Q877" s="4" t="str">
        <f t="shared" si="141"/>
        <v/>
      </c>
      <c r="R877" t="str">
        <f t="shared" si="142"/>
        <v/>
      </c>
      <c r="S877" t="str">
        <f t="shared" si="143"/>
        <v/>
      </c>
      <c r="T877" t="str">
        <f>IF(C877="","",InventoryTable[[#This Row],[Profit per Unit]]*InventoryTable[[#This Row],[Total Pieces]])</f>
        <v/>
      </c>
      <c r="U877" t="str">
        <f t="shared" si="134"/>
        <v/>
      </c>
      <c r="V877" t="str">
        <f>IF(C877="","",H877-InventoryTable[[#This Row],[Units Sold]])</f>
        <v/>
      </c>
      <c r="W877" t="str">
        <f t="shared" si="135"/>
        <v/>
      </c>
      <c r="X877" t="str">
        <f t="shared" si="136"/>
        <v/>
      </c>
      <c r="Y877" t="str">
        <f>IF(C877="","",IF(InventoryTable[[#This Row],[Stock Balance]]&lt;=0,"Sold Out",IF((InventoryTable[[#This Row],[Stock Balance]]/InventoryTable[[#This Row],[Total Pieces]])&lt;=0.25,"Low on Stocks","Available")))</f>
        <v/>
      </c>
    </row>
    <row r="878" spans="1:25" x14ac:dyDescent="0.3">
      <c r="A878" t="str">
        <f>IF(C878="","",_xlfn.CONCAT(LEFT(InventoryTable[[#This Row],[Category]],1),InventoryTable[[#This Row],[Product Pricing Type]],ROW()))</f>
        <v/>
      </c>
      <c r="H878" t="str">
        <f t="shared" si="137"/>
        <v/>
      </c>
      <c r="K878" t="str">
        <f t="shared" si="138"/>
        <v/>
      </c>
      <c r="N878" t="str">
        <f t="shared" si="139"/>
        <v/>
      </c>
      <c r="P878" t="str">
        <f t="shared" si="140"/>
        <v/>
      </c>
      <c r="Q878" s="4" t="str">
        <f t="shared" si="141"/>
        <v/>
      </c>
      <c r="R878" t="str">
        <f t="shared" si="142"/>
        <v/>
      </c>
      <c r="S878" t="str">
        <f t="shared" si="143"/>
        <v/>
      </c>
      <c r="T878" t="str">
        <f>IF(C878="","",InventoryTable[[#This Row],[Profit per Unit]]*InventoryTable[[#This Row],[Total Pieces]])</f>
        <v/>
      </c>
      <c r="U878" t="str">
        <f t="shared" si="134"/>
        <v/>
      </c>
      <c r="V878" t="str">
        <f>IF(C878="","",H878-InventoryTable[[#This Row],[Units Sold]])</f>
        <v/>
      </c>
      <c r="W878" t="str">
        <f t="shared" si="135"/>
        <v/>
      </c>
      <c r="X878" t="str">
        <f t="shared" si="136"/>
        <v/>
      </c>
      <c r="Y878" t="str">
        <f>IF(C878="","",IF(InventoryTable[[#This Row],[Stock Balance]]&lt;=0,"Sold Out",IF((InventoryTable[[#This Row],[Stock Balance]]/InventoryTable[[#This Row],[Total Pieces]])&lt;=0.25,"Low on Stocks","Available")))</f>
        <v/>
      </c>
    </row>
    <row r="879" spans="1:25" x14ac:dyDescent="0.3">
      <c r="A879" t="str">
        <f>IF(C879="","",_xlfn.CONCAT(LEFT(InventoryTable[[#This Row],[Category]],1),InventoryTable[[#This Row],[Product Pricing Type]],ROW()))</f>
        <v/>
      </c>
      <c r="H879" t="str">
        <f t="shared" si="137"/>
        <v/>
      </c>
      <c r="K879" t="str">
        <f t="shared" si="138"/>
        <v/>
      </c>
      <c r="N879" t="str">
        <f t="shared" si="139"/>
        <v/>
      </c>
      <c r="P879" t="str">
        <f t="shared" si="140"/>
        <v/>
      </c>
      <c r="Q879" s="4" t="str">
        <f t="shared" si="141"/>
        <v/>
      </c>
      <c r="R879" t="str">
        <f t="shared" si="142"/>
        <v/>
      </c>
      <c r="S879" t="str">
        <f t="shared" si="143"/>
        <v/>
      </c>
      <c r="T879" t="str">
        <f>IF(C879="","",InventoryTable[[#This Row],[Profit per Unit]]*InventoryTable[[#This Row],[Total Pieces]])</f>
        <v/>
      </c>
      <c r="U879" t="str">
        <f t="shared" si="134"/>
        <v/>
      </c>
      <c r="V879" t="str">
        <f>IF(C879="","",H879-InventoryTable[[#This Row],[Units Sold]])</f>
        <v/>
      </c>
      <c r="W879" t="str">
        <f t="shared" si="135"/>
        <v/>
      </c>
      <c r="X879" t="str">
        <f t="shared" si="136"/>
        <v/>
      </c>
      <c r="Y879" t="str">
        <f>IF(C879="","",IF(InventoryTable[[#This Row],[Stock Balance]]&lt;=0,"Sold Out",IF((InventoryTable[[#This Row],[Stock Balance]]/InventoryTable[[#This Row],[Total Pieces]])&lt;=0.25,"Low on Stocks","Available")))</f>
        <v/>
      </c>
    </row>
    <row r="880" spans="1:25" x14ac:dyDescent="0.3">
      <c r="A880" t="str">
        <f>IF(C880="","",_xlfn.CONCAT(LEFT(InventoryTable[[#This Row],[Category]],1),InventoryTable[[#This Row],[Product Pricing Type]],ROW()))</f>
        <v/>
      </c>
      <c r="H880" t="str">
        <f t="shared" si="137"/>
        <v/>
      </c>
      <c r="K880" t="str">
        <f t="shared" si="138"/>
        <v/>
      </c>
      <c r="N880" t="str">
        <f t="shared" si="139"/>
        <v/>
      </c>
      <c r="P880" t="str">
        <f t="shared" si="140"/>
        <v/>
      </c>
      <c r="Q880" s="4" t="str">
        <f t="shared" si="141"/>
        <v/>
      </c>
      <c r="R880" t="str">
        <f t="shared" si="142"/>
        <v/>
      </c>
      <c r="S880" t="str">
        <f t="shared" si="143"/>
        <v/>
      </c>
      <c r="T880" t="str">
        <f>IF(C880="","",InventoryTable[[#This Row],[Profit per Unit]]*InventoryTable[[#This Row],[Total Pieces]])</f>
        <v/>
      </c>
      <c r="U880" t="str">
        <f t="shared" si="134"/>
        <v/>
      </c>
      <c r="V880" t="str">
        <f>IF(C880="","",H880-InventoryTable[[#This Row],[Units Sold]])</f>
        <v/>
      </c>
      <c r="W880" t="str">
        <f t="shared" si="135"/>
        <v/>
      </c>
      <c r="X880" t="str">
        <f t="shared" si="136"/>
        <v/>
      </c>
      <c r="Y880" t="str">
        <f>IF(C880="","",IF(InventoryTable[[#This Row],[Stock Balance]]&lt;=0,"Sold Out",IF((InventoryTable[[#This Row],[Stock Balance]]/InventoryTable[[#This Row],[Total Pieces]])&lt;=0.25,"Low on Stocks","Available")))</f>
        <v/>
      </c>
    </row>
    <row r="881" spans="1:25" x14ac:dyDescent="0.3">
      <c r="A881" t="str">
        <f>IF(C881="","",_xlfn.CONCAT(LEFT(InventoryTable[[#This Row],[Category]],1),InventoryTable[[#This Row],[Product Pricing Type]],ROW()))</f>
        <v/>
      </c>
      <c r="H881" t="str">
        <f t="shared" si="137"/>
        <v/>
      </c>
      <c r="K881" t="str">
        <f t="shared" si="138"/>
        <v/>
      </c>
      <c r="N881" t="str">
        <f t="shared" si="139"/>
        <v/>
      </c>
      <c r="P881" t="str">
        <f t="shared" si="140"/>
        <v/>
      </c>
      <c r="Q881" s="4" t="str">
        <f t="shared" si="141"/>
        <v/>
      </c>
      <c r="R881" t="str">
        <f t="shared" si="142"/>
        <v/>
      </c>
      <c r="S881" t="str">
        <f t="shared" si="143"/>
        <v/>
      </c>
      <c r="T881" t="str">
        <f>IF(C881="","",InventoryTable[[#This Row],[Profit per Unit]]*InventoryTable[[#This Row],[Total Pieces]])</f>
        <v/>
      </c>
      <c r="U881" t="str">
        <f t="shared" si="134"/>
        <v/>
      </c>
      <c r="V881" t="str">
        <f>IF(C881="","",H881-InventoryTable[[#This Row],[Units Sold]])</f>
        <v/>
      </c>
      <c r="W881" t="str">
        <f t="shared" si="135"/>
        <v/>
      </c>
      <c r="X881" t="str">
        <f t="shared" si="136"/>
        <v/>
      </c>
      <c r="Y881" t="str">
        <f>IF(C881="","",IF(InventoryTable[[#This Row],[Stock Balance]]&lt;=0,"Sold Out",IF((InventoryTable[[#This Row],[Stock Balance]]/InventoryTable[[#This Row],[Total Pieces]])&lt;=0.25,"Low on Stocks","Available")))</f>
        <v/>
      </c>
    </row>
    <row r="882" spans="1:25" x14ac:dyDescent="0.3">
      <c r="A882" t="str">
        <f>IF(C882="","",_xlfn.CONCAT(LEFT(InventoryTable[[#This Row],[Category]],1),InventoryTable[[#This Row],[Product Pricing Type]],ROW()))</f>
        <v/>
      </c>
      <c r="H882" t="str">
        <f t="shared" si="137"/>
        <v/>
      </c>
      <c r="K882" t="str">
        <f t="shared" si="138"/>
        <v/>
      </c>
      <c r="N882" t="str">
        <f t="shared" si="139"/>
        <v/>
      </c>
      <c r="P882" t="str">
        <f t="shared" si="140"/>
        <v/>
      </c>
      <c r="Q882" s="4" t="str">
        <f t="shared" si="141"/>
        <v/>
      </c>
      <c r="R882" t="str">
        <f t="shared" si="142"/>
        <v/>
      </c>
      <c r="S882" t="str">
        <f t="shared" si="143"/>
        <v/>
      </c>
      <c r="T882" t="str">
        <f>IF(C882="","",InventoryTable[[#This Row],[Profit per Unit]]*InventoryTable[[#This Row],[Total Pieces]])</f>
        <v/>
      </c>
      <c r="U882" t="str">
        <f t="shared" si="134"/>
        <v/>
      </c>
      <c r="V882" t="str">
        <f>IF(C882="","",H882-InventoryTable[[#This Row],[Units Sold]])</f>
        <v/>
      </c>
      <c r="W882" t="str">
        <f t="shared" si="135"/>
        <v/>
      </c>
      <c r="X882" t="str">
        <f t="shared" si="136"/>
        <v/>
      </c>
      <c r="Y882" t="str">
        <f>IF(C882="","",IF(InventoryTable[[#This Row],[Stock Balance]]&lt;=0,"Sold Out",IF((InventoryTable[[#This Row],[Stock Balance]]/InventoryTable[[#This Row],[Total Pieces]])&lt;=0.25,"Low on Stocks","Available")))</f>
        <v/>
      </c>
    </row>
    <row r="883" spans="1:25" x14ac:dyDescent="0.3">
      <c r="A883" t="str">
        <f>IF(C883="","",_xlfn.CONCAT(LEFT(InventoryTable[[#This Row],[Category]],1),InventoryTable[[#This Row],[Product Pricing Type]],ROW()))</f>
        <v/>
      </c>
      <c r="H883" t="str">
        <f t="shared" si="137"/>
        <v/>
      </c>
      <c r="K883" t="str">
        <f t="shared" si="138"/>
        <v/>
      </c>
      <c r="N883" t="str">
        <f t="shared" si="139"/>
        <v/>
      </c>
      <c r="P883" t="str">
        <f t="shared" si="140"/>
        <v/>
      </c>
      <c r="Q883" s="4" t="str">
        <f t="shared" si="141"/>
        <v/>
      </c>
      <c r="R883" t="str">
        <f t="shared" si="142"/>
        <v/>
      </c>
      <c r="S883" t="str">
        <f t="shared" si="143"/>
        <v/>
      </c>
      <c r="T883" t="str">
        <f>IF(C883="","",InventoryTable[[#This Row],[Profit per Unit]]*InventoryTable[[#This Row],[Total Pieces]])</f>
        <v/>
      </c>
      <c r="U883" t="str">
        <f t="shared" si="134"/>
        <v/>
      </c>
      <c r="V883" t="str">
        <f>IF(C883="","",H883-InventoryTable[[#This Row],[Units Sold]])</f>
        <v/>
      </c>
      <c r="W883" t="str">
        <f t="shared" si="135"/>
        <v/>
      </c>
      <c r="X883" t="str">
        <f t="shared" si="136"/>
        <v/>
      </c>
      <c r="Y883" t="str">
        <f>IF(C883="","",IF(InventoryTable[[#This Row],[Stock Balance]]&lt;=0,"Sold Out",IF((InventoryTable[[#This Row],[Stock Balance]]/InventoryTable[[#This Row],[Total Pieces]])&lt;=0.25,"Low on Stocks","Available")))</f>
        <v/>
      </c>
    </row>
    <row r="884" spans="1:25" x14ac:dyDescent="0.3">
      <c r="A884" t="str">
        <f>IF(C884="","",_xlfn.CONCAT(LEFT(InventoryTable[[#This Row],[Category]],1),InventoryTable[[#This Row],[Product Pricing Type]],ROW()))</f>
        <v/>
      </c>
      <c r="H884" t="str">
        <f t="shared" si="137"/>
        <v/>
      </c>
      <c r="K884" t="str">
        <f t="shared" si="138"/>
        <v/>
      </c>
      <c r="N884" t="str">
        <f t="shared" si="139"/>
        <v/>
      </c>
      <c r="P884" t="str">
        <f t="shared" si="140"/>
        <v/>
      </c>
      <c r="Q884" s="4" t="str">
        <f t="shared" si="141"/>
        <v/>
      </c>
      <c r="R884" t="str">
        <f t="shared" si="142"/>
        <v/>
      </c>
      <c r="S884" t="str">
        <f t="shared" si="143"/>
        <v/>
      </c>
      <c r="T884" t="str">
        <f>IF(C884="","",InventoryTable[[#This Row],[Profit per Unit]]*InventoryTable[[#This Row],[Total Pieces]])</f>
        <v/>
      </c>
      <c r="U884" t="str">
        <f t="shared" si="134"/>
        <v/>
      </c>
      <c r="V884" t="str">
        <f>IF(C884="","",H884-InventoryTable[[#This Row],[Units Sold]])</f>
        <v/>
      </c>
      <c r="W884" t="str">
        <f t="shared" si="135"/>
        <v/>
      </c>
      <c r="X884" t="str">
        <f t="shared" si="136"/>
        <v/>
      </c>
      <c r="Y884" t="str">
        <f>IF(C884="","",IF(InventoryTable[[#This Row],[Stock Balance]]&lt;=0,"Sold Out",IF((InventoryTable[[#This Row],[Stock Balance]]/InventoryTable[[#This Row],[Total Pieces]])&lt;=0.25,"Low on Stocks","Available")))</f>
        <v/>
      </c>
    </row>
    <row r="885" spans="1:25" x14ac:dyDescent="0.3">
      <c r="A885" t="str">
        <f>IF(C885="","",_xlfn.CONCAT(LEFT(InventoryTable[[#This Row],[Category]],1),InventoryTable[[#This Row],[Product Pricing Type]],ROW()))</f>
        <v/>
      </c>
      <c r="H885" t="str">
        <f t="shared" si="137"/>
        <v/>
      </c>
      <c r="K885" t="str">
        <f t="shared" si="138"/>
        <v/>
      </c>
      <c r="N885" t="str">
        <f t="shared" si="139"/>
        <v/>
      </c>
      <c r="P885" t="str">
        <f t="shared" si="140"/>
        <v/>
      </c>
      <c r="Q885" s="4" t="str">
        <f t="shared" si="141"/>
        <v/>
      </c>
      <c r="R885" t="str">
        <f t="shared" si="142"/>
        <v/>
      </c>
      <c r="S885" t="str">
        <f t="shared" si="143"/>
        <v/>
      </c>
      <c r="T885" t="str">
        <f>IF(C885="","",InventoryTable[[#This Row],[Profit per Unit]]*InventoryTable[[#This Row],[Total Pieces]])</f>
        <v/>
      </c>
      <c r="U885" t="str">
        <f t="shared" si="134"/>
        <v/>
      </c>
      <c r="V885" t="str">
        <f>IF(C885="","",H885-InventoryTable[[#This Row],[Units Sold]])</f>
        <v/>
      </c>
      <c r="W885" t="str">
        <f t="shared" si="135"/>
        <v/>
      </c>
      <c r="X885" t="str">
        <f t="shared" si="136"/>
        <v/>
      </c>
      <c r="Y885" t="str">
        <f>IF(C885="","",IF(InventoryTable[[#This Row],[Stock Balance]]&lt;=0,"Sold Out",IF((InventoryTable[[#This Row],[Stock Balance]]/InventoryTable[[#This Row],[Total Pieces]])&lt;=0.25,"Low on Stocks","Available")))</f>
        <v/>
      </c>
    </row>
    <row r="886" spans="1:25" x14ac:dyDescent="0.3">
      <c r="A886" t="str">
        <f>IF(C886="","",_xlfn.CONCAT(LEFT(InventoryTable[[#This Row],[Category]],1),InventoryTable[[#This Row],[Product Pricing Type]],ROW()))</f>
        <v/>
      </c>
      <c r="H886" t="str">
        <f t="shared" si="137"/>
        <v/>
      </c>
      <c r="K886" t="str">
        <f t="shared" si="138"/>
        <v/>
      </c>
      <c r="N886" t="str">
        <f t="shared" si="139"/>
        <v/>
      </c>
      <c r="P886" t="str">
        <f t="shared" si="140"/>
        <v/>
      </c>
      <c r="Q886" s="4" t="str">
        <f t="shared" si="141"/>
        <v/>
      </c>
      <c r="R886" t="str">
        <f t="shared" si="142"/>
        <v/>
      </c>
      <c r="S886" t="str">
        <f t="shared" si="143"/>
        <v/>
      </c>
      <c r="T886" t="str">
        <f>IF(C886="","",InventoryTable[[#This Row],[Profit per Unit]]*InventoryTable[[#This Row],[Total Pieces]])</f>
        <v/>
      </c>
      <c r="U886" t="str">
        <f t="shared" si="134"/>
        <v/>
      </c>
      <c r="V886" t="str">
        <f>IF(C886="","",H886-InventoryTable[[#This Row],[Units Sold]])</f>
        <v/>
      </c>
      <c r="W886" t="str">
        <f t="shared" si="135"/>
        <v/>
      </c>
      <c r="X886" t="str">
        <f t="shared" si="136"/>
        <v/>
      </c>
      <c r="Y886" t="str">
        <f>IF(C886="","",IF(InventoryTable[[#This Row],[Stock Balance]]&lt;=0,"Sold Out",IF((InventoryTable[[#This Row],[Stock Balance]]/InventoryTable[[#This Row],[Total Pieces]])&lt;=0.25,"Low on Stocks","Available")))</f>
        <v/>
      </c>
    </row>
    <row r="887" spans="1:25" x14ac:dyDescent="0.3">
      <c r="A887" t="str">
        <f>IF(C887="","",_xlfn.CONCAT(LEFT(InventoryTable[[#This Row],[Category]],1),InventoryTable[[#This Row],[Product Pricing Type]],ROW()))</f>
        <v/>
      </c>
      <c r="H887" t="str">
        <f t="shared" si="137"/>
        <v/>
      </c>
      <c r="K887" t="str">
        <f t="shared" si="138"/>
        <v/>
      </c>
      <c r="N887" t="str">
        <f t="shared" si="139"/>
        <v/>
      </c>
      <c r="P887" t="str">
        <f t="shared" si="140"/>
        <v/>
      </c>
      <c r="Q887" s="4" t="str">
        <f t="shared" si="141"/>
        <v/>
      </c>
      <c r="R887" t="str">
        <f t="shared" si="142"/>
        <v/>
      </c>
      <c r="S887" t="str">
        <f t="shared" si="143"/>
        <v/>
      </c>
      <c r="T887" t="str">
        <f>IF(C887="","",InventoryTable[[#This Row],[Profit per Unit]]*InventoryTable[[#This Row],[Total Pieces]])</f>
        <v/>
      </c>
      <c r="U887" t="str">
        <f t="shared" si="134"/>
        <v/>
      </c>
      <c r="V887" t="str">
        <f>IF(C887="","",H887-InventoryTable[[#This Row],[Units Sold]])</f>
        <v/>
      </c>
      <c r="W887" t="str">
        <f t="shared" si="135"/>
        <v/>
      </c>
      <c r="X887" t="str">
        <f t="shared" si="136"/>
        <v/>
      </c>
      <c r="Y887" t="str">
        <f>IF(C887="","",IF(InventoryTable[[#This Row],[Stock Balance]]&lt;=0,"Sold Out",IF((InventoryTable[[#This Row],[Stock Balance]]/InventoryTable[[#This Row],[Total Pieces]])&lt;=0.25,"Low on Stocks","Available")))</f>
        <v/>
      </c>
    </row>
    <row r="888" spans="1:25" x14ac:dyDescent="0.3">
      <c r="A888" t="str">
        <f>IF(C888="","",_xlfn.CONCAT(LEFT(InventoryTable[[#This Row],[Category]],1),InventoryTable[[#This Row],[Product Pricing Type]],ROW()))</f>
        <v/>
      </c>
      <c r="H888" t="str">
        <f t="shared" si="137"/>
        <v/>
      </c>
      <c r="K888" t="str">
        <f t="shared" si="138"/>
        <v/>
      </c>
      <c r="N888" t="str">
        <f t="shared" si="139"/>
        <v/>
      </c>
      <c r="P888" t="str">
        <f t="shared" si="140"/>
        <v/>
      </c>
      <c r="Q888" s="4" t="str">
        <f t="shared" si="141"/>
        <v/>
      </c>
      <c r="R888" t="str">
        <f t="shared" si="142"/>
        <v/>
      </c>
      <c r="S888" t="str">
        <f t="shared" si="143"/>
        <v/>
      </c>
      <c r="T888" t="str">
        <f>IF(C888="","",InventoryTable[[#This Row],[Profit per Unit]]*InventoryTable[[#This Row],[Total Pieces]])</f>
        <v/>
      </c>
      <c r="U888" t="str">
        <f t="shared" si="134"/>
        <v/>
      </c>
      <c r="V888" t="str">
        <f>IF(C888="","",H888-InventoryTable[[#This Row],[Units Sold]])</f>
        <v/>
      </c>
      <c r="W888" t="str">
        <f t="shared" si="135"/>
        <v/>
      </c>
      <c r="X888" t="str">
        <f t="shared" si="136"/>
        <v/>
      </c>
      <c r="Y888" t="str">
        <f>IF(C888="","",IF(InventoryTable[[#This Row],[Stock Balance]]&lt;=0,"Sold Out",IF((InventoryTable[[#This Row],[Stock Balance]]/InventoryTable[[#This Row],[Total Pieces]])&lt;=0.25,"Low on Stocks","Available")))</f>
        <v/>
      </c>
    </row>
    <row r="889" spans="1:25" x14ac:dyDescent="0.3">
      <c r="A889" t="str">
        <f>IF(C889="","",_xlfn.CONCAT(LEFT(InventoryTable[[#This Row],[Category]],1),InventoryTable[[#This Row],[Product Pricing Type]],ROW()))</f>
        <v/>
      </c>
      <c r="H889" t="str">
        <f t="shared" si="137"/>
        <v/>
      </c>
      <c r="K889" t="str">
        <f t="shared" si="138"/>
        <v/>
      </c>
      <c r="N889" t="str">
        <f t="shared" si="139"/>
        <v/>
      </c>
      <c r="P889" t="str">
        <f t="shared" si="140"/>
        <v/>
      </c>
      <c r="Q889" s="4" t="str">
        <f t="shared" si="141"/>
        <v/>
      </c>
      <c r="R889" t="str">
        <f t="shared" si="142"/>
        <v/>
      </c>
      <c r="S889" t="str">
        <f t="shared" si="143"/>
        <v/>
      </c>
      <c r="T889" t="str">
        <f>IF(C889="","",InventoryTable[[#This Row],[Profit per Unit]]*InventoryTable[[#This Row],[Total Pieces]])</f>
        <v/>
      </c>
      <c r="U889" t="str">
        <f t="shared" si="134"/>
        <v/>
      </c>
      <c r="V889" t="str">
        <f>IF(C889="","",H889-InventoryTable[[#This Row],[Units Sold]])</f>
        <v/>
      </c>
      <c r="W889" t="str">
        <f t="shared" si="135"/>
        <v/>
      </c>
      <c r="X889" t="str">
        <f t="shared" si="136"/>
        <v/>
      </c>
      <c r="Y889" t="str">
        <f>IF(C889="","",IF(InventoryTable[[#This Row],[Stock Balance]]&lt;=0,"Sold Out",IF((InventoryTable[[#This Row],[Stock Balance]]/InventoryTable[[#This Row],[Total Pieces]])&lt;=0.25,"Low on Stocks","Available")))</f>
        <v/>
      </c>
    </row>
    <row r="890" spans="1:25" x14ac:dyDescent="0.3">
      <c r="A890" t="str">
        <f>IF(C890="","",_xlfn.CONCAT(LEFT(InventoryTable[[#This Row],[Category]],1),InventoryTable[[#This Row],[Product Pricing Type]],ROW()))</f>
        <v/>
      </c>
      <c r="H890" t="str">
        <f t="shared" si="137"/>
        <v/>
      </c>
      <c r="K890" t="str">
        <f t="shared" si="138"/>
        <v/>
      </c>
      <c r="N890" t="str">
        <f t="shared" si="139"/>
        <v/>
      </c>
      <c r="P890" t="str">
        <f t="shared" si="140"/>
        <v/>
      </c>
      <c r="Q890" s="4" t="str">
        <f t="shared" si="141"/>
        <v/>
      </c>
      <c r="R890" t="str">
        <f t="shared" si="142"/>
        <v/>
      </c>
      <c r="S890" t="str">
        <f t="shared" si="143"/>
        <v/>
      </c>
      <c r="T890" t="str">
        <f>IF(C890="","",InventoryTable[[#This Row],[Profit per Unit]]*InventoryTable[[#This Row],[Total Pieces]])</f>
        <v/>
      </c>
      <c r="U890" t="str">
        <f t="shared" si="134"/>
        <v/>
      </c>
      <c r="V890" t="str">
        <f>IF(C890="","",H890-InventoryTable[[#This Row],[Units Sold]])</f>
        <v/>
      </c>
      <c r="W890" t="str">
        <f t="shared" si="135"/>
        <v/>
      </c>
      <c r="X890" t="str">
        <f t="shared" si="136"/>
        <v/>
      </c>
      <c r="Y890" t="str">
        <f>IF(C890="","",IF(InventoryTable[[#This Row],[Stock Balance]]&lt;=0,"Sold Out",IF((InventoryTable[[#This Row],[Stock Balance]]/InventoryTable[[#This Row],[Total Pieces]])&lt;=0.25,"Low on Stocks","Available")))</f>
        <v/>
      </c>
    </row>
    <row r="891" spans="1:25" x14ac:dyDescent="0.3">
      <c r="A891" t="str">
        <f>IF(C891="","",_xlfn.CONCAT(LEFT(InventoryTable[[#This Row],[Category]],1),InventoryTable[[#This Row],[Product Pricing Type]],ROW()))</f>
        <v/>
      </c>
      <c r="H891" t="str">
        <f t="shared" si="137"/>
        <v/>
      </c>
      <c r="K891" t="str">
        <f t="shared" si="138"/>
        <v/>
      </c>
      <c r="N891" t="str">
        <f t="shared" si="139"/>
        <v/>
      </c>
      <c r="P891" t="str">
        <f t="shared" si="140"/>
        <v/>
      </c>
      <c r="Q891" s="4" t="str">
        <f t="shared" si="141"/>
        <v/>
      </c>
      <c r="R891" t="str">
        <f t="shared" si="142"/>
        <v/>
      </c>
      <c r="S891" t="str">
        <f t="shared" si="143"/>
        <v/>
      </c>
      <c r="T891" t="str">
        <f>IF(C891="","",InventoryTable[[#This Row],[Profit per Unit]]*InventoryTable[[#This Row],[Total Pieces]])</f>
        <v/>
      </c>
      <c r="U891" t="str">
        <f t="shared" si="134"/>
        <v/>
      </c>
      <c r="V891" t="str">
        <f>IF(C891="","",H891-InventoryTable[[#This Row],[Units Sold]])</f>
        <v/>
      </c>
      <c r="W891" t="str">
        <f t="shared" si="135"/>
        <v/>
      </c>
      <c r="X891" t="str">
        <f t="shared" si="136"/>
        <v/>
      </c>
      <c r="Y891" t="str">
        <f>IF(C891="","",IF(InventoryTable[[#This Row],[Stock Balance]]&lt;=0,"Sold Out",IF((InventoryTable[[#This Row],[Stock Balance]]/InventoryTable[[#This Row],[Total Pieces]])&lt;=0.25,"Low on Stocks","Available")))</f>
        <v/>
      </c>
    </row>
    <row r="892" spans="1:25" x14ac:dyDescent="0.3">
      <c r="A892" t="str">
        <f>IF(C892="","",_xlfn.CONCAT(LEFT(InventoryTable[[#This Row],[Category]],1),InventoryTable[[#This Row],[Product Pricing Type]],ROW()))</f>
        <v/>
      </c>
      <c r="H892" t="str">
        <f t="shared" si="137"/>
        <v/>
      </c>
      <c r="K892" t="str">
        <f t="shared" si="138"/>
        <v/>
      </c>
      <c r="N892" t="str">
        <f t="shared" si="139"/>
        <v/>
      </c>
      <c r="P892" t="str">
        <f t="shared" si="140"/>
        <v/>
      </c>
      <c r="Q892" s="4" t="str">
        <f t="shared" si="141"/>
        <v/>
      </c>
      <c r="R892" t="str">
        <f t="shared" si="142"/>
        <v/>
      </c>
      <c r="S892" t="str">
        <f t="shared" si="143"/>
        <v/>
      </c>
      <c r="T892" t="str">
        <f>IF(C892="","",InventoryTable[[#This Row],[Profit per Unit]]*InventoryTable[[#This Row],[Total Pieces]])</f>
        <v/>
      </c>
      <c r="U892" t="str">
        <f t="shared" si="134"/>
        <v/>
      </c>
      <c r="V892" t="str">
        <f>IF(C892="","",H892-InventoryTable[[#This Row],[Units Sold]])</f>
        <v/>
      </c>
      <c r="W892" t="str">
        <f t="shared" si="135"/>
        <v/>
      </c>
      <c r="X892" t="str">
        <f t="shared" si="136"/>
        <v/>
      </c>
      <c r="Y892" t="str">
        <f>IF(C892="","",IF(InventoryTable[[#This Row],[Stock Balance]]&lt;=0,"Sold Out",IF((InventoryTable[[#This Row],[Stock Balance]]/InventoryTable[[#This Row],[Total Pieces]])&lt;=0.25,"Low on Stocks","Available")))</f>
        <v/>
      </c>
    </row>
    <row r="893" spans="1:25" x14ac:dyDescent="0.3">
      <c r="A893" t="str">
        <f>IF(C893="","",_xlfn.CONCAT(LEFT(InventoryTable[[#This Row],[Category]],1),InventoryTable[[#This Row],[Product Pricing Type]],ROW()))</f>
        <v/>
      </c>
      <c r="H893" t="str">
        <f t="shared" si="137"/>
        <v/>
      </c>
      <c r="K893" t="str">
        <f t="shared" si="138"/>
        <v/>
      </c>
      <c r="N893" t="str">
        <f t="shared" si="139"/>
        <v/>
      </c>
      <c r="P893" t="str">
        <f t="shared" si="140"/>
        <v/>
      </c>
      <c r="Q893" s="4" t="str">
        <f t="shared" si="141"/>
        <v/>
      </c>
      <c r="R893" t="str">
        <f t="shared" si="142"/>
        <v/>
      </c>
      <c r="S893" t="str">
        <f t="shared" si="143"/>
        <v/>
      </c>
      <c r="T893" t="str">
        <f>IF(C893="","",InventoryTable[[#This Row],[Profit per Unit]]*InventoryTable[[#This Row],[Total Pieces]])</f>
        <v/>
      </c>
      <c r="U893" t="str">
        <f t="shared" ref="U893:U956" si="144">IF(C893="","",0)</f>
        <v/>
      </c>
      <c r="V893" t="str">
        <f>IF(C893="","",H893-InventoryTable[[#This Row],[Units Sold]])</f>
        <v/>
      </c>
      <c r="W893" t="str">
        <f t="shared" ref="W893:W956" si="145">IF(C893="","",Q893*U893)</f>
        <v/>
      </c>
      <c r="X893" t="str">
        <f t="shared" ref="X893:X956" si="146">IF(C893="","",S893*U893)</f>
        <v/>
      </c>
      <c r="Y893" t="str">
        <f>IF(C893="","",IF(InventoryTable[[#This Row],[Stock Balance]]&lt;=0,"Sold Out",IF((InventoryTable[[#This Row],[Stock Balance]]/InventoryTable[[#This Row],[Total Pieces]])&lt;=0.25,"Low on Stocks","Available")))</f>
        <v/>
      </c>
    </row>
    <row r="894" spans="1:25" x14ac:dyDescent="0.3">
      <c r="A894" t="str">
        <f>IF(C894="","",_xlfn.CONCAT(LEFT(InventoryTable[[#This Row],[Category]],1),InventoryTable[[#This Row],[Product Pricing Type]],ROW()))</f>
        <v/>
      </c>
      <c r="H894" t="str">
        <f t="shared" si="137"/>
        <v/>
      </c>
      <c r="K894" t="str">
        <f t="shared" si="138"/>
        <v/>
      </c>
      <c r="N894" t="str">
        <f t="shared" si="139"/>
        <v/>
      </c>
      <c r="P894" t="str">
        <f t="shared" si="140"/>
        <v/>
      </c>
      <c r="Q894" s="4" t="str">
        <f t="shared" si="141"/>
        <v/>
      </c>
      <c r="R894" t="str">
        <f t="shared" si="142"/>
        <v/>
      </c>
      <c r="S894" t="str">
        <f t="shared" si="143"/>
        <v/>
      </c>
      <c r="T894" t="str">
        <f>IF(C894="","",InventoryTable[[#This Row],[Profit per Unit]]*InventoryTable[[#This Row],[Total Pieces]])</f>
        <v/>
      </c>
      <c r="U894" t="str">
        <f t="shared" si="144"/>
        <v/>
      </c>
      <c r="V894" t="str">
        <f>IF(C894="","",H894-InventoryTable[[#This Row],[Units Sold]])</f>
        <v/>
      </c>
      <c r="W894" t="str">
        <f t="shared" si="145"/>
        <v/>
      </c>
      <c r="X894" t="str">
        <f t="shared" si="146"/>
        <v/>
      </c>
      <c r="Y894" t="str">
        <f>IF(C894="","",IF(InventoryTable[[#This Row],[Stock Balance]]&lt;=0,"Sold Out",IF((InventoryTable[[#This Row],[Stock Balance]]/InventoryTable[[#This Row],[Total Pieces]])&lt;=0.25,"Low on Stocks","Available")))</f>
        <v/>
      </c>
    </row>
    <row r="895" spans="1:25" x14ac:dyDescent="0.3">
      <c r="A895" t="str">
        <f>IF(C895="","",_xlfn.CONCAT(LEFT(InventoryTable[[#This Row],[Category]],1),InventoryTable[[#This Row],[Product Pricing Type]],ROW()))</f>
        <v/>
      </c>
      <c r="H895" t="str">
        <f t="shared" si="137"/>
        <v/>
      </c>
      <c r="K895" t="str">
        <f t="shared" si="138"/>
        <v/>
      </c>
      <c r="N895" t="str">
        <f t="shared" si="139"/>
        <v/>
      </c>
      <c r="P895" t="str">
        <f t="shared" si="140"/>
        <v/>
      </c>
      <c r="Q895" s="4" t="str">
        <f t="shared" si="141"/>
        <v/>
      </c>
      <c r="R895" t="str">
        <f t="shared" si="142"/>
        <v/>
      </c>
      <c r="S895" t="str">
        <f t="shared" si="143"/>
        <v/>
      </c>
      <c r="T895" t="str">
        <f>IF(C895="","",InventoryTable[[#This Row],[Profit per Unit]]*InventoryTable[[#This Row],[Total Pieces]])</f>
        <v/>
      </c>
      <c r="U895" t="str">
        <f t="shared" si="144"/>
        <v/>
      </c>
      <c r="V895" t="str">
        <f>IF(C895="","",H895-InventoryTable[[#This Row],[Units Sold]])</f>
        <v/>
      </c>
      <c r="W895" t="str">
        <f t="shared" si="145"/>
        <v/>
      </c>
      <c r="X895" t="str">
        <f t="shared" si="146"/>
        <v/>
      </c>
      <c r="Y895" t="str">
        <f>IF(C895="","",IF(InventoryTable[[#This Row],[Stock Balance]]&lt;=0,"Sold Out",IF((InventoryTable[[#This Row],[Stock Balance]]/InventoryTable[[#This Row],[Total Pieces]])&lt;=0.25,"Low on Stocks","Available")))</f>
        <v/>
      </c>
    </row>
    <row r="896" spans="1:25" x14ac:dyDescent="0.3">
      <c r="A896" t="str">
        <f>IF(C896="","",_xlfn.CONCAT(LEFT(InventoryTable[[#This Row],[Category]],1),InventoryTable[[#This Row],[Product Pricing Type]],ROW()))</f>
        <v/>
      </c>
      <c r="H896" t="str">
        <f t="shared" si="137"/>
        <v/>
      </c>
      <c r="K896" t="str">
        <f t="shared" si="138"/>
        <v/>
      </c>
      <c r="N896" t="str">
        <f t="shared" si="139"/>
        <v/>
      </c>
      <c r="P896" t="str">
        <f t="shared" si="140"/>
        <v/>
      </c>
      <c r="Q896" s="4" t="str">
        <f t="shared" si="141"/>
        <v/>
      </c>
      <c r="R896" t="str">
        <f t="shared" si="142"/>
        <v/>
      </c>
      <c r="S896" t="str">
        <f t="shared" si="143"/>
        <v/>
      </c>
      <c r="T896" t="str">
        <f>IF(C896="","",InventoryTable[[#This Row],[Profit per Unit]]*InventoryTable[[#This Row],[Total Pieces]])</f>
        <v/>
      </c>
      <c r="U896" t="str">
        <f t="shared" si="144"/>
        <v/>
      </c>
      <c r="V896" t="str">
        <f>IF(C896="","",H896-InventoryTable[[#This Row],[Units Sold]])</f>
        <v/>
      </c>
      <c r="W896" t="str">
        <f t="shared" si="145"/>
        <v/>
      </c>
      <c r="X896" t="str">
        <f t="shared" si="146"/>
        <v/>
      </c>
      <c r="Y896" t="str">
        <f>IF(C896="","",IF(InventoryTable[[#This Row],[Stock Balance]]&lt;=0,"Sold Out",IF((InventoryTable[[#This Row],[Stock Balance]]/InventoryTable[[#This Row],[Total Pieces]])&lt;=0.25,"Low on Stocks","Available")))</f>
        <v/>
      </c>
    </row>
    <row r="897" spans="1:25" x14ac:dyDescent="0.3">
      <c r="A897" t="str">
        <f>IF(C897="","",_xlfn.CONCAT(LEFT(InventoryTable[[#This Row],[Category]],1),InventoryTable[[#This Row],[Product Pricing Type]],ROW()))</f>
        <v/>
      </c>
      <c r="H897" t="str">
        <f t="shared" si="137"/>
        <v/>
      </c>
      <c r="K897" t="str">
        <f t="shared" si="138"/>
        <v/>
      </c>
      <c r="N897" t="str">
        <f t="shared" si="139"/>
        <v/>
      </c>
      <c r="P897" t="str">
        <f t="shared" si="140"/>
        <v/>
      </c>
      <c r="Q897" s="4" t="str">
        <f t="shared" si="141"/>
        <v/>
      </c>
      <c r="R897" t="str">
        <f t="shared" si="142"/>
        <v/>
      </c>
      <c r="S897" t="str">
        <f t="shared" si="143"/>
        <v/>
      </c>
      <c r="T897" t="str">
        <f>IF(C897="","",InventoryTable[[#This Row],[Profit per Unit]]*InventoryTable[[#This Row],[Total Pieces]])</f>
        <v/>
      </c>
      <c r="U897" t="str">
        <f t="shared" si="144"/>
        <v/>
      </c>
      <c r="V897" t="str">
        <f>IF(C897="","",H897-InventoryTable[[#This Row],[Units Sold]])</f>
        <v/>
      </c>
      <c r="W897" t="str">
        <f t="shared" si="145"/>
        <v/>
      </c>
      <c r="X897" t="str">
        <f t="shared" si="146"/>
        <v/>
      </c>
      <c r="Y897" t="str">
        <f>IF(C897="","",IF(InventoryTable[[#This Row],[Stock Balance]]&lt;=0,"Sold Out",IF((InventoryTable[[#This Row],[Stock Balance]]/InventoryTable[[#This Row],[Total Pieces]])&lt;=0.25,"Low on Stocks","Available")))</f>
        <v/>
      </c>
    </row>
    <row r="898" spans="1:25" x14ac:dyDescent="0.3">
      <c r="A898" t="str">
        <f>IF(C898="","",_xlfn.CONCAT(LEFT(InventoryTable[[#This Row],[Category]],1),InventoryTable[[#This Row],[Product Pricing Type]],ROW()))</f>
        <v/>
      </c>
      <c r="H898" t="str">
        <f t="shared" si="137"/>
        <v/>
      </c>
      <c r="K898" t="str">
        <f t="shared" si="138"/>
        <v/>
      </c>
      <c r="N898" t="str">
        <f t="shared" si="139"/>
        <v/>
      </c>
      <c r="P898" t="str">
        <f t="shared" si="140"/>
        <v/>
      </c>
      <c r="Q898" s="4" t="str">
        <f t="shared" si="141"/>
        <v/>
      </c>
      <c r="R898" t="str">
        <f t="shared" si="142"/>
        <v/>
      </c>
      <c r="S898" t="str">
        <f t="shared" si="143"/>
        <v/>
      </c>
      <c r="T898" t="str">
        <f>IF(C898="","",InventoryTable[[#This Row],[Profit per Unit]]*InventoryTable[[#This Row],[Total Pieces]])</f>
        <v/>
      </c>
      <c r="U898" t="str">
        <f t="shared" si="144"/>
        <v/>
      </c>
      <c r="V898" t="str">
        <f>IF(C898="","",H898-InventoryTable[[#This Row],[Units Sold]])</f>
        <v/>
      </c>
      <c r="W898" t="str">
        <f t="shared" si="145"/>
        <v/>
      </c>
      <c r="X898" t="str">
        <f t="shared" si="146"/>
        <v/>
      </c>
      <c r="Y898" t="str">
        <f>IF(C898="","",IF(InventoryTable[[#This Row],[Stock Balance]]&lt;=0,"Sold Out",IF((InventoryTable[[#This Row],[Stock Balance]]/InventoryTable[[#This Row],[Total Pieces]])&lt;=0.25,"Low on Stocks","Available")))</f>
        <v/>
      </c>
    </row>
    <row r="899" spans="1:25" x14ac:dyDescent="0.3">
      <c r="A899" t="str">
        <f>IF(C899="","",_xlfn.CONCAT(LEFT(InventoryTable[[#This Row],[Category]],1),InventoryTable[[#This Row],[Product Pricing Type]],ROW()))</f>
        <v/>
      </c>
      <c r="H899" t="str">
        <f t="shared" si="137"/>
        <v/>
      </c>
      <c r="K899" t="str">
        <f t="shared" si="138"/>
        <v/>
      </c>
      <c r="N899" t="str">
        <f t="shared" si="139"/>
        <v/>
      </c>
      <c r="P899" t="str">
        <f t="shared" si="140"/>
        <v/>
      </c>
      <c r="Q899" s="4" t="str">
        <f t="shared" si="141"/>
        <v/>
      </c>
      <c r="R899" t="str">
        <f t="shared" si="142"/>
        <v/>
      </c>
      <c r="S899" t="str">
        <f t="shared" si="143"/>
        <v/>
      </c>
      <c r="T899" t="str">
        <f>IF(C899="","",InventoryTable[[#This Row],[Profit per Unit]]*InventoryTable[[#This Row],[Total Pieces]])</f>
        <v/>
      </c>
      <c r="U899" t="str">
        <f t="shared" si="144"/>
        <v/>
      </c>
      <c r="V899" t="str">
        <f>IF(C899="","",H899-InventoryTable[[#This Row],[Units Sold]])</f>
        <v/>
      </c>
      <c r="W899" t="str">
        <f t="shared" si="145"/>
        <v/>
      </c>
      <c r="X899" t="str">
        <f t="shared" si="146"/>
        <v/>
      </c>
      <c r="Y899" t="str">
        <f>IF(C899="","",IF(InventoryTable[[#This Row],[Stock Balance]]&lt;=0,"Sold Out",IF((InventoryTable[[#This Row],[Stock Balance]]/InventoryTable[[#This Row],[Total Pieces]])&lt;=0.25,"Low on Stocks","Available")))</f>
        <v/>
      </c>
    </row>
    <row r="900" spans="1:25" x14ac:dyDescent="0.3">
      <c r="A900" t="str">
        <f>IF(C900="","",_xlfn.CONCAT(LEFT(InventoryTable[[#This Row],[Category]],1),InventoryTable[[#This Row],[Product Pricing Type]],ROW()))</f>
        <v/>
      </c>
      <c r="H900" t="str">
        <f t="shared" si="137"/>
        <v/>
      </c>
      <c r="K900" t="str">
        <f t="shared" si="138"/>
        <v/>
      </c>
      <c r="N900" t="str">
        <f t="shared" si="139"/>
        <v/>
      </c>
      <c r="P900" t="str">
        <f t="shared" si="140"/>
        <v/>
      </c>
      <c r="Q900" s="4" t="str">
        <f t="shared" si="141"/>
        <v/>
      </c>
      <c r="R900" t="str">
        <f t="shared" si="142"/>
        <v/>
      </c>
      <c r="S900" t="str">
        <f t="shared" si="143"/>
        <v/>
      </c>
      <c r="T900" t="str">
        <f>IF(C900="","",InventoryTable[[#This Row],[Profit per Unit]]*InventoryTable[[#This Row],[Total Pieces]])</f>
        <v/>
      </c>
      <c r="U900" t="str">
        <f t="shared" si="144"/>
        <v/>
      </c>
      <c r="V900" t="str">
        <f>IF(C900="","",H900-InventoryTable[[#This Row],[Units Sold]])</f>
        <v/>
      </c>
      <c r="W900" t="str">
        <f t="shared" si="145"/>
        <v/>
      </c>
      <c r="X900" t="str">
        <f t="shared" si="146"/>
        <v/>
      </c>
      <c r="Y900" t="str">
        <f>IF(C900="","",IF(InventoryTable[[#This Row],[Stock Balance]]&lt;=0,"Sold Out",IF((InventoryTable[[#This Row],[Stock Balance]]/InventoryTable[[#This Row],[Total Pieces]])&lt;=0.25,"Low on Stocks","Available")))</f>
        <v/>
      </c>
    </row>
    <row r="901" spans="1:25" x14ac:dyDescent="0.3">
      <c r="A901" t="str">
        <f>IF(C901="","",_xlfn.CONCAT(LEFT(InventoryTable[[#This Row],[Category]],1),InventoryTable[[#This Row],[Product Pricing Type]],ROW()))</f>
        <v/>
      </c>
      <c r="H901" t="str">
        <f t="shared" si="137"/>
        <v/>
      </c>
      <c r="K901" t="str">
        <f t="shared" si="138"/>
        <v/>
      </c>
      <c r="N901" t="str">
        <f t="shared" si="139"/>
        <v/>
      </c>
      <c r="P901" t="str">
        <f t="shared" si="140"/>
        <v/>
      </c>
      <c r="Q901" s="4" t="str">
        <f t="shared" si="141"/>
        <v/>
      </c>
      <c r="R901" t="str">
        <f t="shared" si="142"/>
        <v/>
      </c>
      <c r="S901" t="str">
        <f t="shared" si="143"/>
        <v/>
      </c>
      <c r="T901" t="str">
        <f>IF(C901="","",InventoryTable[[#This Row],[Profit per Unit]]*InventoryTable[[#This Row],[Total Pieces]])</f>
        <v/>
      </c>
      <c r="U901" t="str">
        <f t="shared" si="144"/>
        <v/>
      </c>
      <c r="V901" t="str">
        <f>IF(C901="","",H901-InventoryTable[[#This Row],[Units Sold]])</f>
        <v/>
      </c>
      <c r="W901" t="str">
        <f t="shared" si="145"/>
        <v/>
      </c>
      <c r="X901" t="str">
        <f t="shared" si="146"/>
        <v/>
      </c>
      <c r="Y901" t="str">
        <f>IF(C901="","",IF(InventoryTable[[#This Row],[Stock Balance]]&lt;=0,"Sold Out",IF((InventoryTable[[#This Row],[Stock Balance]]/InventoryTable[[#This Row],[Total Pieces]])&lt;=0.25,"Low on Stocks","Available")))</f>
        <v/>
      </c>
    </row>
    <row r="902" spans="1:25" x14ac:dyDescent="0.3">
      <c r="A902" t="str">
        <f>IF(C902="","",_xlfn.CONCAT(LEFT(InventoryTable[[#This Row],[Category]],1),InventoryTable[[#This Row],[Product Pricing Type]],ROW()))</f>
        <v/>
      </c>
      <c r="H902" t="str">
        <f t="shared" si="137"/>
        <v/>
      </c>
      <c r="K902" t="str">
        <f t="shared" si="138"/>
        <v/>
      </c>
      <c r="N902" t="str">
        <f t="shared" si="139"/>
        <v/>
      </c>
      <c r="P902" t="str">
        <f t="shared" si="140"/>
        <v/>
      </c>
      <c r="Q902" s="4" t="str">
        <f t="shared" si="141"/>
        <v/>
      </c>
      <c r="R902" t="str">
        <f t="shared" si="142"/>
        <v/>
      </c>
      <c r="S902" t="str">
        <f t="shared" si="143"/>
        <v/>
      </c>
      <c r="T902" t="str">
        <f>IF(C902="","",InventoryTable[[#This Row],[Profit per Unit]]*InventoryTable[[#This Row],[Total Pieces]])</f>
        <v/>
      </c>
      <c r="U902" t="str">
        <f t="shared" si="144"/>
        <v/>
      </c>
      <c r="V902" t="str">
        <f>IF(C902="","",H902-InventoryTable[[#This Row],[Units Sold]])</f>
        <v/>
      </c>
      <c r="W902" t="str">
        <f t="shared" si="145"/>
        <v/>
      </c>
      <c r="X902" t="str">
        <f t="shared" si="146"/>
        <v/>
      </c>
      <c r="Y902" t="str">
        <f>IF(C902="","",IF(InventoryTable[[#This Row],[Stock Balance]]&lt;=0,"Sold Out",IF((InventoryTable[[#This Row],[Stock Balance]]/InventoryTable[[#This Row],[Total Pieces]])&lt;=0.25,"Low on Stocks","Available")))</f>
        <v/>
      </c>
    </row>
    <row r="903" spans="1:25" x14ac:dyDescent="0.3">
      <c r="A903" t="str">
        <f>IF(C903="","",_xlfn.CONCAT(LEFT(InventoryTable[[#This Row],[Category]],1),InventoryTable[[#This Row],[Product Pricing Type]],ROW()))</f>
        <v/>
      </c>
      <c r="H903" t="str">
        <f t="shared" si="137"/>
        <v/>
      </c>
      <c r="K903" t="str">
        <f t="shared" si="138"/>
        <v/>
      </c>
      <c r="N903" t="str">
        <f t="shared" si="139"/>
        <v/>
      </c>
      <c r="P903" t="str">
        <f t="shared" si="140"/>
        <v/>
      </c>
      <c r="Q903" s="4" t="str">
        <f t="shared" si="141"/>
        <v/>
      </c>
      <c r="R903" t="str">
        <f t="shared" si="142"/>
        <v/>
      </c>
      <c r="S903" t="str">
        <f t="shared" si="143"/>
        <v/>
      </c>
      <c r="T903" t="str">
        <f>IF(C903="","",InventoryTable[[#This Row],[Profit per Unit]]*InventoryTable[[#This Row],[Total Pieces]])</f>
        <v/>
      </c>
      <c r="U903" t="str">
        <f t="shared" si="144"/>
        <v/>
      </c>
      <c r="V903" t="str">
        <f>IF(C903="","",H903-InventoryTable[[#This Row],[Units Sold]])</f>
        <v/>
      </c>
      <c r="W903" t="str">
        <f t="shared" si="145"/>
        <v/>
      </c>
      <c r="X903" t="str">
        <f t="shared" si="146"/>
        <v/>
      </c>
      <c r="Y903" t="str">
        <f>IF(C903="","",IF(InventoryTable[[#This Row],[Stock Balance]]&lt;=0,"Sold Out",IF((InventoryTable[[#This Row],[Stock Balance]]/InventoryTable[[#This Row],[Total Pieces]])&lt;=0.25,"Low on Stocks","Available")))</f>
        <v/>
      </c>
    </row>
    <row r="904" spans="1:25" x14ac:dyDescent="0.3">
      <c r="A904" t="str">
        <f>IF(C904="","",_xlfn.CONCAT(LEFT(InventoryTable[[#This Row],[Category]],1),InventoryTable[[#This Row],[Product Pricing Type]],ROW()))</f>
        <v/>
      </c>
      <c r="H904" t="str">
        <f t="shared" si="137"/>
        <v/>
      </c>
      <c r="K904" t="str">
        <f t="shared" si="138"/>
        <v/>
      </c>
      <c r="N904" t="str">
        <f t="shared" si="139"/>
        <v/>
      </c>
      <c r="P904" t="str">
        <f t="shared" si="140"/>
        <v/>
      </c>
      <c r="Q904" s="4" t="str">
        <f t="shared" si="141"/>
        <v/>
      </c>
      <c r="R904" t="str">
        <f t="shared" si="142"/>
        <v/>
      </c>
      <c r="S904" t="str">
        <f t="shared" si="143"/>
        <v/>
      </c>
      <c r="T904" t="str">
        <f>IF(C904="","",InventoryTable[[#This Row],[Profit per Unit]]*InventoryTable[[#This Row],[Total Pieces]])</f>
        <v/>
      </c>
      <c r="U904" t="str">
        <f t="shared" si="144"/>
        <v/>
      </c>
      <c r="V904" t="str">
        <f>IF(C904="","",H904-InventoryTable[[#This Row],[Units Sold]])</f>
        <v/>
      </c>
      <c r="W904" t="str">
        <f t="shared" si="145"/>
        <v/>
      </c>
      <c r="X904" t="str">
        <f t="shared" si="146"/>
        <v/>
      </c>
      <c r="Y904" t="str">
        <f>IF(C904="","",IF(InventoryTable[[#This Row],[Stock Balance]]&lt;=0,"Sold Out",IF((InventoryTable[[#This Row],[Stock Balance]]/InventoryTable[[#This Row],[Total Pieces]])&lt;=0.25,"Low on Stocks","Available")))</f>
        <v/>
      </c>
    </row>
    <row r="905" spans="1:25" x14ac:dyDescent="0.3">
      <c r="A905" t="str">
        <f>IF(C905="","",_xlfn.CONCAT(LEFT(InventoryTable[[#This Row],[Category]],1),InventoryTable[[#This Row],[Product Pricing Type]],ROW()))</f>
        <v/>
      </c>
      <c r="H905" t="str">
        <f t="shared" si="137"/>
        <v/>
      </c>
      <c r="K905" t="str">
        <f t="shared" si="138"/>
        <v/>
      </c>
      <c r="N905" t="str">
        <f t="shared" si="139"/>
        <v/>
      </c>
      <c r="P905" t="str">
        <f t="shared" si="140"/>
        <v/>
      </c>
      <c r="Q905" s="4" t="str">
        <f t="shared" si="141"/>
        <v/>
      </c>
      <c r="R905" t="str">
        <f t="shared" si="142"/>
        <v/>
      </c>
      <c r="S905" t="str">
        <f t="shared" si="143"/>
        <v/>
      </c>
      <c r="T905" t="str">
        <f>IF(C905="","",InventoryTable[[#This Row],[Profit per Unit]]*InventoryTable[[#This Row],[Total Pieces]])</f>
        <v/>
      </c>
      <c r="U905" t="str">
        <f t="shared" si="144"/>
        <v/>
      </c>
      <c r="V905" t="str">
        <f>IF(C905="","",H905-InventoryTable[[#This Row],[Units Sold]])</f>
        <v/>
      </c>
      <c r="W905" t="str">
        <f t="shared" si="145"/>
        <v/>
      </c>
      <c r="X905" t="str">
        <f t="shared" si="146"/>
        <v/>
      </c>
      <c r="Y905" t="str">
        <f>IF(C905="","",IF(InventoryTable[[#This Row],[Stock Balance]]&lt;=0,"Sold Out",IF((InventoryTable[[#This Row],[Stock Balance]]/InventoryTable[[#This Row],[Total Pieces]])&lt;=0.25,"Low on Stocks","Available")))</f>
        <v/>
      </c>
    </row>
    <row r="906" spans="1:25" x14ac:dyDescent="0.3">
      <c r="A906" t="str">
        <f>IF(C906="","",_xlfn.CONCAT(LEFT(InventoryTable[[#This Row],[Category]],1),InventoryTable[[#This Row],[Product Pricing Type]],ROW()))</f>
        <v/>
      </c>
      <c r="H906" t="str">
        <f t="shared" si="137"/>
        <v/>
      </c>
      <c r="K906" t="str">
        <f t="shared" si="138"/>
        <v/>
      </c>
      <c r="N906" t="str">
        <f t="shared" si="139"/>
        <v/>
      </c>
      <c r="P906" t="str">
        <f t="shared" si="140"/>
        <v/>
      </c>
      <c r="Q906" s="4" t="str">
        <f t="shared" si="141"/>
        <v/>
      </c>
      <c r="R906" t="str">
        <f t="shared" si="142"/>
        <v/>
      </c>
      <c r="S906" t="str">
        <f t="shared" si="143"/>
        <v/>
      </c>
      <c r="T906" t="str">
        <f>IF(C906="","",InventoryTable[[#This Row],[Profit per Unit]]*InventoryTable[[#This Row],[Total Pieces]])</f>
        <v/>
      </c>
      <c r="U906" t="str">
        <f t="shared" si="144"/>
        <v/>
      </c>
      <c r="V906" t="str">
        <f>IF(C906="","",H906-InventoryTable[[#This Row],[Units Sold]])</f>
        <v/>
      </c>
      <c r="W906" t="str">
        <f t="shared" si="145"/>
        <v/>
      </c>
      <c r="X906" t="str">
        <f t="shared" si="146"/>
        <v/>
      </c>
      <c r="Y906" t="str">
        <f>IF(C906="","",IF(InventoryTable[[#This Row],[Stock Balance]]&lt;=0,"Sold Out",IF((InventoryTable[[#This Row],[Stock Balance]]/InventoryTable[[#This Row],[Total Pieces]])&lt;=0.25,"Low on Stocks","Available")))</f>
        <v/>
      </c>
    </row>
    <row r="907" spans="1:25" x14ac:dyDescent="0.3">
      <c r="A907" t="str">
        <f>IF(C907="","",_xlfn.CONCAT(LEFT(InventoryTable[[#This Row],[Category]],1),InventoryTable[[#This Row],[Product Pricing Type]],ROW()))</f>
        <v/>
      </c>
      <c r="H907" t="str">
        <f t="shared" si="137"/>
        <v/>
      </c>
      <c r="K907" t="str">
        <f t="shared" si="138"/>
        <v/>
      </c>
      <c r="N907" t="str">
        <f t="shared" si="139"/>
        <v/>
      </c>
      <c r="P907" t="str">
        <f t="shared" si="140"/>
        <v/>
      </c>
      <c r="Q907" s="4" t="str">
        <f t="shared" si="141"/>
        <v/>
      </c>
      <c r="R907" t="str">
        <f t="shared" si="142"/>
        <v/>
      </c>
      <c r="S907" t="str">
        <f t="shared" si="143"/>
        <v/>
      </c>
      <c r="T907" t="str">
        <f>IF(C907="","",InventoryTable[[#This Row],[Profit per Unit]]*InventoryTable[[#This Row],[Total Pieces]])</f>
        <v/>
      </c>
      <c r="U907" t="str">
        <f t="shared" si="144"/>
        <v/>
      </c>
      <c r="V907" t="str">
        <f>IF(C907="","",H907-InventoryTable[[#This Row],[Units Sold]])</f>
        <v/>
      </c>
      <c r="W907" t="str">
        <f t="shared" si="145"/>
        <v/>
      </c>
      <c r="X907" t="str">
        <f t="shared" si="146"/>
        <v/>
      </c>
      <c r="Y907" t="str">
        <f>IF(C907="","",IF(InventoryTable[[#This Row],[Stock Balance]]&lt;=0,"Sold Out",IF((InventoryTable[[#This Row],[Stock Balance]]/InventoryTable[[#This Row],[Total Pieces]])&lt;=0.25,"Low on Stocks","Available")))</f>
        <v/>
      </c>
    </row>
    <row r="908" spans="1:25" x14ac:dyDescent="0.3">
      <c r="A908" t="str">
        <f>IF(C908="","",_xlfn.CONCAT(LEFT(InventoryTable[[#This Row],[Category]],1),InventoryTable[[#This Row],[Product Pricing Type]],ROW()))</f>
        <v/>
      </c>
      <c r="H908" t="str">
        <f t="shared" si="137"/>
        <v/>
      </c>
      <c r="K908" t="str">
        <f t="shared" si="138"/>
        <v/>
      </c>
      <c r="N908" t="str">
        <f t="shared" si="139"/>
        <v/>
      </c>
      <c r="P908" t="str">
        <f t="shared" si="140"/>
        <v/>
      </c>
      <c r="Q908" s="4" t="str">
        <f t="shared" si="141"/>
        <v/>
      </c>
      <c r="R908" t="str">
        <f t="shared" si="142"/>
        <v/>
      </c>
      <c r="S908" t="str">
        <f t="shared" si="143"/>
        <v/>
      </c>
      <c r="T908" t="str">
        <f>IF(C908="","",InventoryTable[[#This Row],[Profit per Unit]]*InventoryTable[[#This Row],[Total Pieces]])</f>
        <v/>
      </c>
      <c r="U908" t="str">
        <f t="shared" si="144"/>
        <v/>
      </c>
      <c r="V908" t="str">
        <f>IF(C908="","",H908-InventoryTable[[#This Row],[Units Sold]])</f>
        <v/>
      </c>
      <c r="W908" t="str">
        <f t="shared" si="145"/>
        <v/>
      </c>
      <c r="X908" t="str">
        <f t="shared" si="146"/>
        <v/>
      </c>
      <c r="Y908" t="str">
        <f>IF(C908="","",IF(InventoryTable[[#This Row],[Stock Balance]]&lt;=0,"Sold Out",IF((InventoryTable[[#This Row],[Stock Balance]]/InventoryTable[[#This Row],[Total Pieces]])&lt;=0.25,"Low on Stocks","Available")))</f>
        <v/>
      </c>
    </row>
    <row r="909" spans="1:25" x14ac:dyDescent="0.3">
      <c r="A909" t="str">
        <f>IF(C909="","",_xlfn.CONCAT(LEFT(InventoryTable[[#This Row],[Category]],1),InventoryTable[[#This Row],[Product Pricing Type]],ROW()))</f>
        <v/>
      </c>
      <c r="H909" t="str">
        <f t="shared" si="137"/>
        <v/>
      </c>
      <c r="K909" t="str">
        <f t="shared" si="138"/>
        <v/>
      </c>
      <c r="N909" t="str">
        <f t="shared" si="139"/>
        <v/>
      </c>
      <c r="P909" t="str">
        <f t="shared" si="140"/>
        <v/>
      </c>
      <c r="Q909" s="4" t="str">
        <f t="shared" si="141"/>
        <v/>
      </c>
      <c r="R909" t="str">
        <f t="shared" si="142"/>
        <v/>
      </c>
      <c r="S909" t="str">
        <f t="shared" si="143"/>
        <v/>
      </c>
      <c r="T909" t="str">
        <f>IF(C909="","",InventoryTable[[#This Row],[Profit per Unit]]*InventoryTable[[#This Row],[Total Pieces]])</f>
        <v/>
      </c>
      <c r="U909" t="str">
        <f t="shared" si="144"/>
        <v/>
      </c>
      <c r="V909" t="str">
        <f>IF(C909="","",H909-InventoryTable[[#This Row],[Units Sold]])</f>
        <v/>
      </c>
      <c r="W909" t="str">
        <f t="shared" si="145"/>
        <v/>
      </c>
      <c r="X909" t="str">
        <f t="shared" si="146"/>
        <v/>
      </c>
      <c r="Y909" t="str">
        <f>IF(C909="","",IF(InventoryTable[[#This Row],[Stock Balance]]&lt;=0,"Sold Out",IF((InventoryTable[[#This Row],[Stock Balance]]/InventoryTable[[#This Row],[Total Pieces]])&lt;=0.25,"Low on Stocks","Available")))</f>
        <v/>
      </c>
    </row>
    <row r="910" spans="1:25" x14ac:dyDescent="0.3">
      <c r="A910" t="str">
        <f>IF(C910="","",_xlfn.CONCAT(LEFT(InventoryTable[[#This Row],[Category]],1),InventoryTable[[#This Row],[Product Pricing Type]],ROW()))</f>
        <v/>
      </c>
      <c r="H910" t="str">
        <f t="shared" si="137"/>
        <v/>
      </c>
      <c r="K910" t="str">
        <f t="shared" si="138"/>
        <v/>
      </c>
      <c r="N910" t="str">
        <f t="shared" si="139"/>
        <v/>
      </c>
      <c r="P910" t="str">
        <f t="shared" si="140"/>
        <v/>
      </c>
      <c r="Q910" s="4" t="str">
        <f t="shared" si="141"/>
        <v/>
      </c>
      <c r="R910" t="str">
        <f t="shared" si="142"/>
        <v/>
      </c>
      <c r="S910" t="str">
        <f t="shared" si="143"/>
        <v/>
      </c>
      <c r="T910" t="str">
        <f>IF(C910="","",InventoryTable[[#This Row],[Profit per Unit]]*InventoryTable[[#This Row],[Total Pieces]])</f>
        <v/>
      </c>
      <c r="U910" t="str">
        <f t="shared" si="144"/>
        <v/>
      </c>
      <c r="V910" t="str">
        <f>IF(C910="","",H910-InventoryTable[[#This Row],[Units Sold]])</f>
        <v/>
      </c>
      <c r="W910" t="str">
        <f t="shared" si="145"/>
        <v/>
      </c>
      <c r="X910" t="str">
        <f t="shared" si="146"/>
        <v/>
      </c>
      <c r="Y910" t="str">
        <f>IF(C910="","",IF(InventoryTable[[#This Row],[Stock Balance]]&lt;=0,"Sold Out",IF((InventoryTable[[#This Row],[Stock Balance]]/InventoryTable[[#This Row],[Total Pieces]])&lt;=0.25,"Low on Stocks","Available")))</f>
        <v/>
      </c>
    </row>
    <row r="911" spans="1:25" x14ac:dyDescent="0.3">
      <c r="A911" t="str">
        <f>IF(C911="","",_xlfn.CONCAT(LEFT(InventoryTable[[#This Row],[Category]],1),InventoryTable[[#This Row],[Product Pricing Type]],ROW()))</f>
        <v/>
      </c>
      <c r="H911" t="str">
        <f t="shared" si="137"/>
        <v/>
      </c>
      <c r="K911" t="str">
        <f t="shared" si="138"/>
        <v/>
      </c>
      <c r="N911" t="str">
        <f t="shared" si="139"/>
        <v/>
      </c>
      <c r="P911" t="str">
        <f t="shared" si="140"/>
        <v/>
      </c>
      <c r="Q911" s="4" t="str">
        <f t="shared" si="141"/>
        <v/>
      </c>
      <c r="R911" t="str">
        <f t="shared" si="142"/>
        <v/>
      </c>
      <c r="S911" t="str">
        <f t="shared" si="143"/>
        <v/>
      </c>
      <c r="T911" t="str">
        <f>IF(C911="","",InventoryTable[[#This Row],[Profit per Unit]]*InventoryTable[[#This Row],[Total Pieces]])</f>
        <v/>
      </c>
      <c r="U911" t="str">
        <f t="shared" si="144"/>
        <v/>
      </c>
      <c r="V911" t="str">
        <f>IF(C911="","",H911-InventoryTable[[#This Row],[Units Sold]])</f>
        <v/>
      </c>
      <c r="W911" t="str">
        <f t="shared" si="145"/>
        <v/>
      </c>
      <c r="X911" t="str">
        <f t="shared" si="146"/>
        <v/>
      </c>
      <c r="Y911" t="str">
        <f>IF(C911="","",IF(InventoryTable[[#This Row],[Stock Balance]]&lt;=0,"Sold Out",IF((InventoryTable[[#This Row],[Stock Balance]]/InventoryTable[[#This Row],[Total Pieces]])&lt;=0.25,"Low on Stocks","Available")))</f>
        <v/>
      </c>
    </row>
    <row r="912" spans="1:25" x14ac:dyDescent="0.3">
      <c r="A912" t="str">
        <f>IF(C912="","",_xlfn.CONCAT(LEFT(InventoryTable[[#This Row],[Category]],1),InventoryTable[[#This Row],[Product Pricing Type]],ROW()))</f>
        <v/>
      </c>
      <c r="H912" t="str">
        <f t="shared" si="137"/>
        <v/>
      </c>
      <c r="K912" t="str">
        <f t="shared" si="138"/>
        <v/>
      </c>
      <c r="N912" t="str">
        <f t="shared" si="139"/>
        <v/>
      </c>
      <c r="P912" t="str">
        <f t="shared" si="140"/>
        <v/>
      </c>
      <c r="Q912" s="4" t="str">
        <f t="shared" si="141"/>
        <v/>
      </c>
      <c r="R912" t="str">
        <f t="shared" si="142"/>
        <v/>
      </c>
      <c r="S912" t="str">
        <f t="shared" si="143"/>
        <v/>
      </c>
      <c r="T912" t="str">
        <f>IF(C912="","",InventoryTable[[#This Row],[Profit per Unit]]*InventoryTable[[#This Row],[Total Pieces]])</f>
        <v/>
      </c>
      <c r="U912" t="str">
        <f t="shared" si="144"/>
        <v/>
      </c>
      <c r="V912" t="str">
        <f>IF(C912="","",H912-InventoryTable[[#This Row],[Units Sold]])</f>
        <v/>
      </c>
      <c r="W912" t="str">
        <f t="shared" si="145"/>
        <v/>
      </c>
      <c r="X912" t="str">
        <f t="shared" si="146"/>
        <v/>
      </c>
      <c r="Y912" t="str">
        <f>IF(C912="","",IF(InventoryTable[[#This Row],[Stock Balance]]&lt;=0,"Sold Out",IF((InventoryTable[[#This Row],[Stock Balance]]/InventoryTable[[#This Row],[Total Pieces]])&lt;=0.25,"Low on Stocks","Available")))</f>
        <v/>
      </c>
    </row>
    <row r="913" spans="1:25" x14ac:dyDescent="0.3">
      <c r="A913" t="str">
        <f>IF(C913="","",_xlfn.CONCAT(LEFT(InventoryTable[[#This Row],[Category]],1),InventoryTable[[#This Row],[Product Pricing Type]],ROW()))</f>
        <v/>
      </c>
      <c r="H913" t="str">
        <f t="shared" si="137"/>
        <v/>
      </c>
      <c r="K913" t="str">
        <f t="shared" si="138"/>
        <v/>
      </c>
      <c r="N913" t="str">
        <f t="shared" si="139"/>
        <v/>
      </c>
      <c r="P913" t="str">
        <f t="shared" si="140"/>
        <v/>
      </c>
      <c r="Q913" s="4" t="str">
        <f t="shared" si="141"/>
        <v/>
      </c>
      <c r="R913" t="str">
        <f t="shared" si="142"/>
        <v/>
      </c>
      <c r="S913" t="str">
        <f t="shared" si="143"/>
        <v/>
      </c>
      <c r="T913" t="str">
        <f>IF(C913="","",InventoryTable[[#This Row],[Profit per Unit]]*InventoryTable[[#This Row],[Total Pieces]])</f>
        <v/>
      </c>
      <c r="U913" t="str">
        <f t="shared" si="144"/>
        <v/>
      </c>
      <c r="V913" t="str">
        <f>IF(C913="","",H913-InventoryTable[[#This Row],[Units Sold]])</f>
        <v/>
      </c>
      <c r="W913" t="str">
        <f t="shared" si="145"/>
        <v/>
      </c>
      <c r="X913" t="str">
        <f t="shared" si="146"/>
        <v/>
      </c>
      <c r="Y913" t="str">
        <f>IF(C913="","",IF(InventoryTable[[#This Row],[Stock Balance]]&lt;=0,"Sold Out",IF((InventoryTable[[#This Row],[Stock Balance]]/InventoryTable[[#This Row],[Total Pieces]])&lt;=0.25,"Low on Stocks","Available")))</f>
        <v/>
      </c>
    </row>
    <row r="914" spans="1:25" x14ac:dyDescent="0.3">
      <c r="A914" t="str">
        <f>IF(C914="","",_xlfn.CONCAT(LEFT(InventoryTable[[#This Row],[Category]],1),InventoryTable[[#This Row],[Product Pricing Type]],ROW()))</f>
        <v/>
      </c>
      <c r="H914" t="str">
        <f t="shared" si="137"/>
        <v/>
      </c>
      <c r="K914" t="str">
        <f t="shared" si="138"/>
        <v/>
      </c>
      <c r="N914" t="str">
        <f t="shared" si="139"/>
        <v/>
      </c>
      <c r="P914" t="str">
        <f t="shared" si="140"/>
        <v/>
      </c>
      <c r="Q914" s="4" t="str">
        <f t="shared" si="141"/>
        <v/>
      </c>
      <c r="R914" t="str">
        <f t="shared" si="142"/>
        <v/>
      </c>
      <c r="S914" t="str">
        <f t="shared" si="143"/>
        <v/>
      </c>
      <c r="T914" t="str">
        <f>IF(C914="","",InventoryTable[[#This Row],[Profit per Unit]]*InventoryTable[[#This Row],[Total Pieces]])</f>
        <v/>
      </c>
      <c r="U914" t="str">
        <f t="shared" si="144"/>
        <v/>
      </c>
      <c r="V914" t="str">
        <f>IF(C914="","",H914-InventoryTable[[#This Row],[Units Sold]])</f>
        <v/>
      </c>
      <c r="W914" t="str">
        <f t="shared" si="145"/>
        <v/>
      </c>
      <c r="X914" t="str">
        <f t="shared" si="146"/>
        <v/>
      </c>
      <c r="Y914" t="str">
        <f>IF(C914="","",IF(InventoryTable[[#This Row],[Stock Balance]]&lt;=0,"Sold Out",IF((InventoryTable[[#This Row],[Stock Balance]]/InventoryTable[[#This Row],[Total Pieces]])&lt;=0.25,"Low on Stocks","Available")))</f>
        <v/>
      </c>
    </row>
    <row r="915" spans="1:25" x14ac:dyDescent="0.3">
      <c r="A915" t="str">
        <f>IF(C915="","",_xlfn.CONCAT(LEFT(InventoryTable[[#This Row],[Category]],1),InventoryTable[[#This Row],[Product Pricing Type]],ROW()))</f>
        <v/>
      </c>
      <c r="H915" t="str">
        <f t="shared" si="137"/>
        <v/>
      </c>
      <c r="K915" t="str">
        <f t="shared" si="138"/>
        <v/>
      </c>
      <c r="N915" t="str">
        <f t="shared" si="139"/>
        <v/>
      </c>
      <c r="P915" t="str">
        <f t="shared" si="140"/>
        <v/>
      </c>
      <c r="Q915" s="4" t="str">
        <f t="shared" si="141"/>
        <v/>
      </c>
      <c r="R915" t="str">
        <f t="shared" si="142"/>
        <v/>
      </c>
      <c r="S915" t="str">
        <f t="shared" si="143"/>
        <v/>
      </c>
      <c r="T915" t="str">
        <f>IF(C915="","",InventoryTable[[#This Row],[Profit per Unit]]*InventoryTable[[#This Row],[Total Pieces]])</f>
        <v/>
      </c>
      <c r="U915" t="str">
        <f t="shared" si="144"/>
        <v/>
      </c>
      <c r="V915" t="str">
        <f>IF(C915="","",H915-InventoryTable[[#This Row],[Units Sold]])</f>
        <v/>
      </c>
      <c r="W915" t="str">
        <f t="shared" si="145"/>
        <v/>
      </c>
      <c r="X915" t="str">
        <f t="shared" si="146"/>
        <v/>
      </c>
      <c r="Y915" t="str">
        <f>IF(C915="","",IF(InventoryTable[[#This Row],[Stock Balance]]&lt;=0,"Sold Out",IF((InventoryTable[[#This Row],[Stock Balance]]/InventoryTable[[#This Row],[Total Pieces]])&lt;=0.25,"Low on Stocks","Available")))</f>
        <v/>
      </c>
    </row>
    <row r="916" spans="1:25" x14ac:dyDescent="0.3">
      <c r="A916" t="str">
        <f>IF(C916="","",_xlfn.CONCAT(LEFT(InventoryTable[[#This Row],[Category]],1),InventoryTable[[#This Row],[Product Pricing Type]],ROW()))</f>
        <v/>
      </c>
      <c r="H916" t="str">
        <f t="shared" si="137"/>
        <v/>
      </c>
      <c r="K916" t="str">
        <f t="shared" si="138"/>
        <v/>
      </c>
      <c r="N916" t="str">
        <f t="shared" si="139"/>
        <v/>
      </c>
      <c r="P916" t="str">
        <f t="shared" si="140"/>
        <v/>
      </c>
      <c r="Q916" s="4" t="str">
        <f t="shared" si="141"/>
        <v/>
      </c>
      <c r="R916" t="str">
        <f t="shared" si="142"/>
        <v/>
      </c>
      <c r="S916" t="str">
        <f t="shared" si="143"/>
        <v/>
      </c>
      <c r="T916" t="str">
        <f>IF(C916="","",InventoryTable[[#This Row],[Profit per Unit]]*InventoryTable[[#This Row],[Total Pieces]])</f>
        <v/>
      </c>
      <c r="U916" t="str">
        <f t="shared" si="144"/>
        <v/>
      </c>
      <c r="V916" t="str">
        <f>IF(C916="","",H916-InventoryTable[[#This Row],[Units Sold]])</f>
        <v/>
      </c>
      <c r="W916" t="str">
        <f t="shared" si="145"/>
        <v/>
      </c>
      <c r="X916" t="str">
        <f t="shared" si="146"/>
        <v/>
      </c>
      <c r="Y916" t="str">
        <f>IF(C916="","",IF(InventoryTable[[#This Row],[Stock Balance]]&lt;=0,"Sold Out",IF((InventoryTable[[#This Row],[Stock Balance]]/InventoryTable[[#This Row],[Total Pieces]])&lt;=0.25,"Low on Stocks","Available")))</f>
        <v/>
      </c>
    </row>
    <row r="917" spans="1:25" x14ac:dyDescent="0.3">
      <c r="A917" t="str">
        <f>IF(C917="","",_xlfn.CONCAT(LEFT(InventoryTable[[#This Row],[Category]],1),InventoryTable[[#This Row],[Product Pricing Type]],ROW()))</f>
        <v/>
      </c>
      <c r="H917" t="str">
        <f t="shared" si="137"/>
        <v/>
      </c>
      <c r="K917" t="str">
        <f t="shared" si="138"/>
        <v/>
      </c>
      <c r="N917" t="str">
        <f t="shared" si="139"/>
        <v/>
      </c>
      <c r="P917" t="str">
        <f t="shared" si="140"/>
        <v/>
      </c>
      <c r="Q917" s="4" t="str">
        <f t="shared" si="141"/>
        <v/>
      </c>
      <c r="R917" t="str">
        <f t="shared" si="142"/>
        <v/>
      </c>
      <c r="S917" t="str">
        <f t="shared" si="143"/>
        <v/>
      </c>
      <c r="T917" t="str">
        <f>IF(C917="","",InventoryTable[[#This Row],[Profit per Unit]]*InventoryTable[[#This Row],[Total Pieces]])</f>
        <v/>
      </c>
      <c r="U917" t="str">
        <f t="shared" si="144"/>
        <v/>
      </c>
      <c r="V917" t="str">
        <f>IF(C917="","",H917-InventoryTable[[#This Row],[Units Sold]])</f>
        <v/>
      </c>
      <c r="W917" t="str">
        <f t="shared" si="145"/>
        <v/>
      </c>
      <c r="X917" t="str">
        <f t="shared" si="146"/>
        <v/>
      </c>
      <c r="Y917" t="str">
        <f>IF(C917="","",IF(InventoryTable[[#This Row],[Stock Balance]]&lt;=0,"Sold Out",IF((InventoryTable[[#This Row],[Stock Balance]]/InventoryTable[[#This Row],[Total Pieces]])&lt;=0.25,"Low on Stocks","Available")))</f>
        <v/>
      </c>
    </row>
    <row r="918" spans="1:25" x14ac:dyDescent="0.3">
      <c r="A918" t="str">
        <f>IF(C918="","",_xlfn.CONCAT(LEFT(InventoryTable[[#This Row],[Category]],1),InventoryTable[[#This Row],[Product Pricing Type]],ROW()))</f>
        <v/>
      </c>
      <c r="H918" t="str">
        <f t="shared" si="137"/>
        <v/>
      </c>
      <c r="K918" t="str">
        <f t="shared" si="138"/>
        <v/>
      </c>
      <c r="N918" t="str">
        <f t="shared" si="139"/>
        <v/>
      </c>
      <c r="P918" t="str">
        <f t="shared" si="140"/>
        <v/>
      </c>
      <c r="Q918" s="4" t="str">
        <f t="shared" si="141"/>
        <v/>
      </c>
      <c r="R918" t="str">
        <f t="shared" si="142"/>
        <v/>
      </c>
      <c r="S918" t="str">
        <f t="shared" si="143"/>
        <v/>
      </c>
      <c r="T918" t="str">
        <f>IF(C918="","",InventoryTable[[#This Row],[Profit per Unit]]*InventoryTable[[#This Row],[Total Pieces]])</f>
        <v/>
      </c>
      <c r="U918" t="str">
        <f t="shared" si="144"/>
        <v/>
      </c>
      <c r="V918" t="str">
        <f>IF(C918="","",H918-InventoryTable[[#This Row],[Units Sold]])</f>
        <v/>
      </c>
      <c r="W918" t="str">
        <f t="shared" si="145"/>
        <v/>
      </c>
      <c r="X918" t="str">
        <f t="shared" si="146"/>
        <v/>
      </c>
      <c r="Y918" t="str">
        <f>IF(C918="","",IF(InventoryTable[[#This Row],[Stock Balance]]&lt;=0,"Sold Out",IF((InventoryTable[[#This Row],[Stock Balance]]/InventoryTable[[#This Row],[Total Pieces]])&lt;=0.25,"Low on Stocks","Available")))</f>
        <v/>
      </c>
    </row>
    <row r="919" spans="1:25" x14ac:dyDescent="0.3">
      <c r="A919" t="str">
        <f>IF(C919="","",_xlfn.CONCAT(LEFT(InventoryTable[[#This Row],[Category]],1),InventoryTable[[#This Row],[Product Pricing Type]],ROW()))</f>
        <v/>
      </c>
      <c r="H919" t="str">
        <f t="shared" si="137"/>
        <v/>
      </c>
      <c r="K919" t="str">
        <f t="shared" si="138"/>
        <v/>
      </c>
      <c r="N919" t="str">
        <f t="shared" si="139"/>
        <v/>
      </c>
      <c r="P919" t="str">
        <f t="shared" si="140"/>
        <v/>
      </c>
      <c r="Q919" s="4" t="str">
        <f t="shared" si="141"/>
        <v/>
      </c>
      <c r="R919" t="str">
        <f t="shared" si="142"/>
        <v/>
      </c>
      <c r="S919" t="str">
        <f t="shared" si="143"/>
        <v/>
      </c>
      <c r="T919" t="str">
        <f>IF(C919="","",InventoryTable[[#This Row],[Profit per Unit]]*InventoryTable[[#This Row],[Total Pieces]])</f>
        <v/>
      </c>
      <c r="U919" t="str">
        <f t="shared" si="144"/>
        <v/>
      </c>
      <c r="V919" t="str">
        <f>IF(C919="","",H919-InventoryTable[[#This Row],[Units Sold]])</f>
        <v/>
      </c>
      <c r="W919" t="str">
        <f t="shared" si="145"/>
        <v/>
      </c>
      <c r="X919" t="str">
        <f t="shared" si="146"/>
        <v/>
      </c>
      <c r="Y919" t="str">
        <f>IF(C919="","",IF(InventoryTable[[#This Row],[Stock Balance]]&lt;=0,"Sold Out",IF((InventoryTable[[#This Row],[Stock Balance]]/InventoryTable[[#This Row],[Total Pieces]])&lt;=0.25,"Low on Stocks","Available")))</f>
        <v/>
      </c>
    </row>
    <row r="920" spans="1:25" x14ac:dyDescent="0.3">
      <c r="A920" t="str">
        <f>IF(C920="","",_xlfn.CONCAT(LEFT(InventoryTable[[#This Row],[Category]],1),InventoryTable[[#This Row],[Product Pricing Type]],ROW()))</f>
        <v/>
      </c>
      <c r="H920" t="str">
        <f t="shared" si="137"/>
        <v/>
      </c>
      <c r="K920" t="str">
        <f t="shared" si="138"/>
        <v/>
      </c>
      <c r="N920" t="str">
        <f t="shared" si="139"/>
        <v/>
      </c>
      <c r="P920" t="str">
        <f t="shared" si="140"/>
        <v/>
      </c>
      <c r="Q920" s="4" t="str">
        <f t="shared" si="141"/>
        <v/>
      </c>
      <c r="R920" t="str">
        <f t="shared" si="142"/>
        <v/>
      </c>
      <c r="S920" t="str">
        <f t="shared" si="143"/>
        <v/>
      </c>
      <c r="T920" t="str">
        <f>IF(C920="","",InventoryTable[[#This Row],[Profit per Unit]]*InventoryTable[[#This Row],[Total Pieces]])</f>
        <v/>
      </c>
      <c r="U920" t="str">
        <f t="shared" si="144"/>
        <v/>
      </c>
      <c r="V920" t="str">
        <f>IF(C920="","",H920-InventoryTable[[#This Row],[Units Sold]])</f>
        <v/>
      </c>
      <c r="W920" t="str">
        <f t="shared" si="145"/>
        <v/>
      </c>
      <c r="X920" t="str">
        <f t="shared" si="146"/>
        <v/>
      </c>
      <c r="Y920" t="str">
        <f>IF(C920="","",IF(InventoryTable[[#This Row],[Stock Balance]]&lt;=0,"Sold Out",IF((InventoryTable[[#This Row],[Stock Balance]]/InventoryTable[[#This Row],[Total Pieces]])&lt;=0.25,"Low on Stocks","Available")))</f>
        <v/>
      </c>
    </row>
    <row r="921" spans="1:25" x14ac:dyDescent="0.3">
      <c r="A921" t="str">
        <f>IF(C921="","",_xlfn.CONCAT(LEFT(InventoryTable[[#This Row],[Category]],1),InventoryTable[[#This Row],[Product Pricing Type]],ROW()))</f>
        <v/>
      </c>
      <c r="H921" t="str">
        <f t="shared" si="137"/>
        <v/>
      </c>
      <c r="K921" t="str">
        <f t="shared" si="138"/>
        <v/>
      </c>
      <c r="N921" t="str">
        <f t="shared" si="139"/>
        <v/>
      </c>
      <c r="P921" t="str">
        <f t="shared" si="140"/>
        <v/>
      </c>
      <c r="Q921" s="4" t="str">
        <f t="shared" si="141"/>
        <v/>
      </c>
      <c r="R921" t="str">
        <f t="shared" si="142"/>
        <v/>
      </c>
      <c r="S921" t="str">
        <f t="shared" si="143"/>
        <v/>
      </c>
      <c r="T921" t="str">
        <f>IF(C921="","",InventoryTable[[#This Row],[Profit per Unit]]*InventoryTable[[#This Row],[Total Pieces]])</f>
        <v/>
      </c>
      <c r="U921" t="str">
        <f t="shared" si="144"/>
        <v/>
      </c>
      <c r="V921" t="str">
        <f>IF(C921="","",H921-InventoryTable[[#This Row],[Units Sold]])</f>
        <v/>
      </c>
      <c r="W921" t="str">
        <f t="shared" si="145"/>
        <v/>
      </c>
      <c r="X921" t="str">
        <f t="shared" si="146"/>
        <v/>
      </c>
      <c r="Y921" t="str">
        <f>IF(C921="","",IF(InventoryTable[[#This Row],[Stock Balance]]&lt;=0,"Sold Out",IF((InventoryTable[[#This Row],[Stock Balance]]/InventoryTable[[#This Row],[Total Pieces]])&lt;=0.25,"Low on Stocks","Available")))</f>
        <v/>
      </c>
    </row>
    <row r="922" spans="1:25" x14ac:dyDescent="0.3">
      <c r="A922" t="str">
        <f>IF(C922="","",_xlfn.CONCAT(LEFT(InventoryTable[[#This Row],[Category]],1),InventoryTable[[#This Row],[Product Pricing Type]],ROW()))</f>
        <v/>
      </c>
      <c r="H922" t="str">
        <f t="shared" si="137"/>
        <v/>
      </c>
      <c r="K922" t="str">
        <f t="shared" si="138"/>
        <v/>
      </c>
      <c r="N922" t="str">
        <f t="shared" si="139"/>
        <v/>
      </c>
      <c r="P922" t="str">
        <f t="shared" si="140"/>
        <v/>
      </c>
      <c r="Q922" s="4" t="str">
        <f t="shared" si="141"/>
        <v/>
      </c>
      <c r="R922" t="str">
        <f t="shared" si="142"/>
        <v/>
      </c>
      <c r="S922" t="str">
        <f t="shared" si="143"/>
        <v/>
      </c>
      <c r="T922" t="str">
        <f>IF(C922="","",InventoryTable[[#This Row],[Profit per Unit]]*InventoryTable[[#This Row],[Total Pieces]])</f>
        <v/>
      </c>
      <c r="U922" t="str">
        <f t="shared" si="144"/>
        <v/>
      </c>
      <c r="V922" t="str">
        <f>IF(C922="","",H922-InventoryTable[[#This Row],[Units Sold]])</f>
        <v/>
      </c>
      <c r="W922" t="str">
        <f t="shared" si="145"/>
        <v/>
      </c>
      <c r="X922" t="str">
        <f t="shared" si="146"/>
        <v/>
      </c>
      <c r="Y922" t="str">
        <f>IF(C922="","",IF(InventoryTable[[#This Row],[Stock Balance]]&lt;=0,"Sold Out",IF((InventoryTable[[#This Row],[Stock Balance]]/InventoryTable[[#This Row],[Total Pieces]])&lt;=0.25,"Low on Stocks","Available")))</f>
        <v/>
      </c>
    </row>
    <row r="923" spans="1:25" x14ac:dyDescent="0.3">
      <c r="A923" t="str">
        <f>IF(C923="","",_xlfn.CONCAT(LEFT(InventoryTable[[#This Row],[Category]],1),InventoryTable[[#This Row],[Product Pricing Type]],ROW()))</f>
        <v/>
      </c>
      <c r="H923" t="str">
        <f t="shared" si="137"/>
        <v/>
      </c>
      <c r="K923" t="str">
        <f t="shared" si="138"/>
        <v/>
      </c>
      <c r="N923" t="str">
        <f t="shared" si="139"/>
        <v/>
      </c>
      <c r="P923" t="str">
        <f t="shared" si="140"/>
        <v/>
      </c>
      <c r="Q923" s="4" t="str">
        <f t="shared" si="141"/>
        <v/>
      </c>
      <c r="R923" t="str">
        <f t="shared" si="142"/>
        <v/>
      </c>
      <c r="S923" t="str">
        <f t="shared" si="143"/>
        <v/>
      </c>
      <c r="T923" t="str">
        <f>IF(C923="","",InventoryTable[[#This Row],[Profit per Unit]]*InventoryTable[[#This Row],[Total Pieces]])</f>
        <v/>
      </c>
      <c r="U923" t="str">
        <f t="shared" si="144"/>
        <v/>
      </c>
      <c r="V923" t="str">
        <f>IF(C923="","",H923-InventoryTable[[#This Row],[Units Sold]])</f>
        <v/>
      </c>
      <c r="W923" t="str">
        <f t="shared" si="145"/>
        <v/>
      </c>
      <c r="X923" t="str">
        <f t="shared" si="146"/>
        <v/>
      </c>
      <c r="Y923" t="str">
        <f>IF(C923="","",IF(InventoryTable[[#This Row],[Stock Balance]]&lt;=0,"Sold Out",IF((InventoryTable[[#This Row],[Stock Balance]]/InventoryTable[[#This Row],[Total Pieces]])&lt;=0.25,"Low on Stocks","Available")))</f>
        <v/>
      </c>
    </row>
    <row r="924" spans="1:25" x14ac:dyDescent="0.3">
      <c r="A924" t="str">
        <f>IF(C924="","",_xlfn.CONCAT(LEFT(InventoryTable[[#This Row],[Category]],1),InventoryTable[[#This Row],[Product Pricing Type]],ROW()))</f>
        <v/>
      </c>
      <c r="H924" t="str">
        <f t="shared" si="137"/>
        <v/>
      </c>
      <c r="K924" t="str">
        <f t="shared" si="138"/>
        <v/>
      </c>
      <c r="N924" t="str">
        <f t="shared" si="139"/>
        <v/>
      </c>
      <c r="P924" t="str">
        <f t="shared" si="140"/>
        <v/>
      </c>
      <c r="Q924" s="4" t="str">
        <f t="shared" si="141"/>
        <v/>
      </c>
      <c r="R924" t="str">
        <f t="shared" si="142"/>
        <v/>
      </c>
      <c r="S924" t="str">
        <f t="shared" si="143"/>
        <v/>
      </c>
      <c r="T924" t="str">
        <f>IF(C924="","",InventoryTable[[#This Row],[Profit per Unit]]*InventoryTable[[#This Row],[Total Pieces]])</f>
        <v/>
      </c>
      <c r="U924" t="str">
        <f t="shared" si="144"/>
        <v/>
      </c>
      <c r="V924" t="str">
        <f>IF(C924="","",H924-InventoryTable[[#This Row],[Units Sold]])</f>
        <v/>
      </c>
      <c r="W924" t="str">
        <f t="shared" si="145"/>
        <v/>
      </c>
      <c r="X924" t="str">
        <f t="shared" si="146"/>
        <v/>
      </c>
      <c r="Y924" t="str">
        <f>IF(C924="","",IF(InventoryTable[[#This Row],[Stock Balance]]&lt;=0,"Sold Out",IF((InventoryTable[[#This Row],[Stock Balance]]/InventoryTable[[#This Row],[Total Pieces]])&lt;=0.25,"Low on Stocks","Available")))</f>
        <v/>
      </c>
    </row>
    <row r="925" spans="1:25" x14ac:dyDescent="0.3">
      <c r="A925" t="str">
        <f>IF(C925="","",_xlfn.CONCAT(LEFT(InventoryTable[[#This Row],[Category]],1),InventoryTable[[#This Row],[Product Pricing Type]],ROW()))</f>
        <v/>
      </c>
      <c r="H925" t="str">
        <f t="shared" si="137"/>
        <v/>
      </c>
      <c r="K925" t="str">
        <f t="shared" si="138"/>
        <v/>
      </c>
      <c r="N925" t="str">
        <f t="shared" si="139"/>
        <v/>
      </c>
      <c r="P925" t="str">
        <f t="shared" si="140"/>
        <v/>
      </c>
      <c r="Q925" s="4" t="str">
        <f t="shared" si="141"/>
        <v/>
      </c>
      <c r="R925" t="str">
        <f t="shared" si="142"/>
        <v/>
      </c>
      <c r="S925" t="str">
        <f t="shared" si="143"/>
        <v/>
      </c>
      <c r="T925" t="str">
        <f>IF(C925="","",InventoryTable[[#This Row],[Profit per Unit]]*InventoryTable[[#This Row],[Total Pieces]])</f>
        <v/>
      </c>
      <c r="U925" t="str">
        <f t="shared" si="144"/>
        <v/>
      </c>
      <c r="V925" t="str">
        <f>IF(C925="","",H925-InventoryTable[[#This Row],[Units Sold]])</f>
        <v/>
      </c>
      <c r="W925" t="str">
        <f t="shared" si="145"/>
        <v/>
      </c>
      <c r="X925" t="str">
        <f t="shared" si="146"/>
        <v/>
      </c>
      <c r="Y925" t="str">
        <f>IF(C925="","",IF(InventoryTable[[#This Row],[Stock Balance]]&lt;=0,"Sold Out",IF((InventoryTable[[#This Row],[Stock Balance]]/InventoryTable[[#This Row],[Total Pieces]])&lt;=0.25,"Low on Stocks","Available")))</f>
        <v/>
      </c>
    </row>
    <row r="926" spans="1:25" x14ac:dyDescent="0.3">
      <c r="A926" t="str">
        <f>IF(C926="","",_xlfn.CONCAT(LEFT(InventoryTable[[#This Row],[Category]],1),InventoryTable[[#This Row],[Product Pricing Type]],ROW()))</f>
        <v/>
      </c>
      <c r="H926" t="str">
        <f t="shared" si="137"/>
        <v/>
      </c>
      <c r="K926" t="str">
        <f t="shared" si="138"/>
        <v/>
      </c>
      <c r="N926" t="str">
        <f t="shared" si="139"/>
        <v/>
      </c>
      <c r="P926" t="str">
        <f t="shared" si="140"/>
        <v/>
      </c>
      <c r="Q926" s="4" t="str">
        <f t="shared" si="141"/>
        <v/>
      </c>
      <c r="R926" t="str">
        <f t="shared" si="142"/>
        <v/>
      </c>
      <c r="S926" t="str">
        <f t="shared" si="143"/>
        <v/>
      </c>
      <c r="T926" t="str">
        <f>IF(C926="","",InventoryTable[[#This Row],[Profit per Unit]]*InventoryTable[[#This Row],[Total Pieces]])</f>
        <v/>
      </c>
      <c r="U926" t="str">
        <f t="shared" si="144"/>
        <v/>
      </c>
      <c r="V926" t="str">
        <f>IF(C926="","",H926-InventoryTable[[#This Row],[Units Sold]])</f>
        <v/>
      </c>
      <c r="W926" t="str">
        <f t="shared" si="145"/>
        <v/>
      </c>
      <c r="X926" t="str">
        <f t="shared" si="146"/>
        <v/>
      </c>
      <c r="Y926" t="str">
        <f>IF(C926="","",IF(InventoryTable[[#This Row],[Stock Balance]]&lt;=0,"Sold Out",IF((InventoryTable[[#This Row],[Stock Balance]]/InventoryTable[[#This Row],[Total Pieces]])&lt;=0.25,"Low on Stocks","Available")))</f>
        <v/>
      </c>
    </row>
    <row r="927" spans="1:25" x14ac:dyDescent="0.3">
      <c r="A927" t="str">
        <f>IF(C927="","",_xlfn.CONCAT(LEFT(InventoryTable[[#This Row],[Category]],1),InventoryTable[[#This Row],[Product Pricing Type]],ROW()))</f>
        <v/>
      </c>
      <c r="H927" t="str">
        <f t="shared" si="137"/>
        <v/>
      </c>
      <c r="K927" t="str">
        <f t="shared" si="138"/>
        <v/>
      </c>
      <c r="N927" t="str">
        <f t="shared" si="139"/>
        <v/>
      </c>
      <c r="P927" t="str">
        <f t="shared" si="140"/>
        <v/>
      </c>
      <c r="Q927" s="4" t="str">
        <f t="shared" si="141"/>
        <v/>
      </c>
      <c r="R927" t="str">
        <f t="shared" si="142"/>
        <v/>
      </c>
      <c r="S927" t="str">
        <f t="shared" si="143"/>
        <v/>
      </c>
      <c r="T927" t="str">
        <f>IF(C927="","",InventoryTable[[#This Row],[Profit per Unit]]*InventoryTable[[#This Row],[Total Pieces]])</f>
        <v/>
      </c>
      <c r="U927" t="str">
        <f t="shared" si="144"/>
        <v/>
      </c>
      <c r="V927" t="str">
        <f>IF(C927="","",H927-InventoryTable[[#This Row],[Units Sold]])</f>
        <v/>
      </c>
      <c r="W927" t="str">
        <f t="shared" si="145"/>
        <v/>
      </c>
      <c r="X927" t="str">
        <f t="shared" si="146"/>
        <v/>
      </c>
      <c r="Y927" t="str">
        <f>IF(C927="","",IF(InventoryTable[[#This Row],[Stock Balance]]&lt;=0,"Sold Out",IF((InventoryTable[[#This Row],[Stock Balance]]/InventoryTable[[#This Row],[Total Pieces]])&lt;=0.25,"Low on Stocks","Available")))</f>
        <v/>
      </c>
    </row>
    <row r="928" spans="1:25" x14ac:dyDescent="0.3">
      <c r="A928" t="str">
        <f>IF(C928="","",_xlfn.CONCAT(LEFT(InventoryTable[[#This Row],[Category]],1),InventoryTable[[#This Row],[Product Pricing Type]],ROW()))</f>
        <v/>
      </c>
      <c r="H928" t="str">
        <f t="shared" si="137"/>
        <v/>
      </c>
      <c r="K928" t="str">
        <f t="shared" si="138"/>
        <v/>
      </c>
      <c r="N928" t="str">
        <f t="shared" si="139"/>
        <v/>
      </c>
      <c r="P928" t="str">
        <f t="shared" si="140"/>
        <v/>
      </c>
      <c r="Q928" s="4" t="str">
        <f t="shared" si="141"/>
        <v/>
      </c>
      <c r="R928" t="str">
        <f t="shared" si="142"/>
        <v/>
      </c>
      <c r="S928" t="str">
        <f t="shared" si="143"/>
        <v/>
      </c>
      <c r="T928" t="str">
        <f>IF(C928="","",InventoryTable[[#This Row],[Profit per Unit]]*InventoryTable[[#This Row],[Total Pieces]])</f>
        <v/>
      </c>
      <c r="U928" t="str">
        <f t="shared" si="144"/>
        <v/>
      </c>
      <c r="V928" t="str">
        <f>IF(C928="","",H928-InventoryTable[[#This Row],[Units Sold]])</f>
        <v/>
      </c>
      <c r="W928" t="str">
        <f t="shared" si="145"/>
        <v/>
      </c>
      <c r="X928" t="str">
        <f t="shared" si="146"/>
        <v/>
      </c>
      <c r="Y928" t="str">
        <f>IF(C928="","",IF(InventoryTable[[#This Row],[Stock Balance]]&lt;=0,"Sold Out",IF((InventoryTable[[#This Row],[Stock Balance]]/InventoryTable[[#This Row],[Total Pieces]])&lt;=0.25,"Low on Stocks","Available")))</f>
        <v/>
      </c>
    </row>
    <row r="929" spans="1:25" x14ac:dyDescent="0.3">
      <c r="A929" t="str">
        <f>IF(C929="","",_xlfn.CONCAT(LEFT(InventoryTable[[#This Row],[Category]],1),InventoryTable[[#This Row],[Product Pricing Type]],ROW()))</f>
        <v/>
      </c>
      <c r="H929" t="str">
        <f t="shared" ref="H929:H990" si="147">IF(C929="","",G929*F929)</f>
        <v/>
      </c>
      <c r="K929" t="str">
        <f t="shared" ref="K929:K990" si="148">IF(C929="","",IF(J929=1,I929/H929,I929*G929*F929))</f>
        <v/>
      </c>
      <c r="N929" t="str">
        <f t="shared" ref="N929:N990" si="149">IF(C929="","",IF(J929=1,K929+(K929*M929),I929+(I929*M929)))</f>
        <v/>
      </c>
      <c r="P929" t="str">
        <f t="shared" ref="P929:P990" si="150">IF(C929="","",N929+(N929*O929))</f>
        <v/>
      </c>
      <c r="Q929" s="4" t="str">
        <f t="shared" ref="Q929:Q990" si="151">IF(C929="","",ROUNDUP(P929,0))</f>
        <v/>
      </c>
      <c r="R929" t="str">
        <f t="shared" ref="R929:R990" si="152">IF(C929="","")</f>
        <v/>
      </c>
      <c r="S929" t="str">
        <f t="shared" ref="S929:S990" si="153">IF(C929="","",IF(COUNTIF(C929,"*Fixed*")&gt;0,(K929-R929)/H929,IF(J929=1,Q929-K929,Q929-I929)))</f>
        <v/>
      </c>
      <c r="T929" t="str">
        <f>IF(C929="","",InventoryTable[[#This Row],[Profit per Unit]]*InventoryTable[[#This Row],[Total Pieces]])</f>
        <v/>
      </c>
      <c r="U929" t="str">
        <f t="shared" si="144"/>
        <v/>
      </c>
      <c r="V929" t="str">
        <f>IF(C929="","",H929-InventoryTable[[#This Row],[Units Sold]])</f>
        <v/>
      </c>
      <c r="W929" t="str">
        <f t="shared" si="145"/>
        <v/>
      </c>
      <c r="X929" t="str">
        <f t="shared" si="146"/>
        <v/>
      </c>
      <c r="Y929" t="str">
        <f>IF(C929="","",IF(InventoryTable[[#This Row],[Stock Balance]]&lt;=0,"Sold Out",IF((InventoryTable[[#This Row],[Stock Balance]]/InventoryTable[[#This Row],[Total Pieces]])&lt;=0.25,"Low on Stocks","Available")))</f>
        <v/>
      </c>
    </row>
    <row r="930" spans="1:25" x14ac:dyDescent="0.3">
      <c r="A930" t="str">
        <f>IF(C930="","",_xlfn.CONCAT(LEFT(InventoryTable[[#This Row],[Category]],1),InventoryTable[[#This Row],[Product Pricing Type]],ROW()))</f>
        <v/>
      </c>
      <c r="H930" t="str">
        <f t="shared" si="147"/>
        <v/>
      </c>
      <c r="K930" t="str">
        <f t="shared" si="148"/>
        <v/>
      </c>
      <c r="N930" t="str">
        <f t="shared" si="149"/>
        <v/>
      </c>
      <c r="P930" t="str">
        <f t="shared" si="150"/>
        <v/>
      </c>
      <c r="Q930" s="4" t="str">
        <f t="shared" si="151"/>
        <v/>
      </c>
      <c r="R930" t="str">
        <f t="shared" si="152"/>
        <v/>
      </c>
      <c r="S930" t="str">
        <f t="shared" si="153"/>
        <v/>
      </c>
      <c r="T930" t="str">
        <f>IF(C930="","",InventoryTable[[#This Row],[Profit per Unit]]*InventoryTable[[#This Row],[Total Pieces]])</f>
        <v/>
      </c>
      <c r="U930" t="str">
        <f t="shared" si="144"/>
        <v/>
      </c>
      <c r="V930" t="str">
        <f>IF(C930="","",H930-InventoryTable[[#This Row],[Units Sold]])</f>
        <v/>
      </c>
      <c r="W930" t="str">
        <f t="shared" si="145"/>
        <v/>
      </c>
      <c r="X930" t="str">
        <f t="shared" si="146"/>
        <v/>
      </c>
      <c r="Y930" t="str">
        <f>IF(C930="","",IF(InventoryTable[[#This Row],[Stock Balance]]&lt;=0,"Sold Out",IF((InventoryTable[[#This Row],[Stock Balance]]/InventoryTable[[#This Row],[Total Pieces]])&lt;=0.25,"Low on Stocks","Available")))</f>
        <v/>
      </c>
    </row>
    <row r="931" spans="1:25" x14ac:dyDescent="0.3">
      <c r="A931" t="str">
        <f>IF(C931="","",_xlfn.CONCAT(LEFT(InventoryTable[[#This Row],[Category]],1),InventoryTable[[#This Row],[Product Pricing Type]],ROW()))</f>
        <v/>
      </c>
      <c r="H931" t="str">
        <f t="shared" si="147"/>
        <v/>
      </c>
      <c r="K931" t="str">
        <f t="shared" si="148"/>
        <v/>
      </c>
      <c r="N931" t="str">
        <f t="shared" si="149"/>
        <v/>
      </c>
      <c r="P931" t="str">
        <f t="shared" si="150"/>
        <v/>
      </c>
      <c r="Q931" s="4" t="str">
        <f t="shared" si="151"/>
        <v/>
      </c>
      <c r="R931" t="str">
        <f t="shared" si="152"/>
        <v/>
      </c>
      <c r="S931" t="str">
        <f t="shared" si="153"/>
        <v/>
      </c>
      <c r="T931" t="str">
        <f>IF(C931="","",InventoryTable[[#This Row],[Profit per Unit]]*InventoryTable[[#This Row],[Total Pieces]])</f>
        <v/>
      </c>
      <c r="U931" t="str">
        <f t="shared" si="144"/>
        <v/>
      </c>
      <c r="V931" t="str">
        <f>IF(C931="","",H931-InventoryTable[[#This Row],[Units Sold]])</f>
        <v/>
      </c>
      <c r="W931" t="str">
        <f t="shared" si="145"/>
        <v/>
      </c>
      <c r="X931" t="str">
        <f t="shared" si="146"/>
        <v/>
      </c>
      <c r="Y931" t="str">
        <f>IF(C931="","",IF(InventoryTable[[#This Row],[Stock Balance]]&lt;=0,"Sold Out",IF((InventoryTable[[#This Row],[Stock Balance]]/InventoryTable[[#This Row],[Total Pieces]])&lt;=0.25,"Low on Stocks","Available")))</f>
        <v/>
      </c>
    </row>
    <row r="932" spans="1:25" x14ac:dyDescent="0.3">
      <c r="A932" t="str">
        <f>IF(C932="","",_xlfn.CONCAT(LEFT(InventoryTable[[#This Row],[Category]],1),InventoryTable[[#This Row],[Product Pricing Type]],ROW()))</f>
        <v/>
      </c>
      <c r="H932" t="str">
        <f t="shared" si="147"/>
        <v/>
      </c>
      <c r="K932" t="str">
        <f t="shared" si="148"/>
        <v/>
      </c>
      <c r="N932" t="str">
        <f t="shared" si="149"/>
        <v/>
      </c>
      <c r="P932" t="str">
        <f t="shared" si="150"/>
        <v/>
      </c>
      <c r="Q932" s="4" t="str">
        <f t="shared" si="151"/>
        <v/>
      </c>
      <c r="R932" t="str">
        <f t="shared" si="152"/>
        <v/>
      </c>
      <c r="S932" t="str">
        <f t="shared" si="153"/>
        <v/>
      </c>
      <c r="T932" t="str">
        <f>IF(C932="","",InventoryTable[[#This Row],[Profit per Unit]]*InventoryTable[[#This Row],[Total Pieces]])</f>
        <v/>
      </c>
      <c r="U932" t="str">
        <f t="shared" si="144"/>
        <v/>
      </c>
      <c r="V932" t="str">
        <f>IF(C932="","",H932-InventoryTable[[#This Row],[Units Sold]])</f>
        <v/>
      </c>
      <c r="W932" t="str">
        <f t="shared" si="145"/>
        <v/>
      </c>
      <c r="X932" t="str">
        <f t="shared" si="146"/>
        <v/>
      </c>
      <c r="Y932" t="str">
        <f>IF(C932="","",IF(InventoryTable[[#This Row],[Stock Balance]]&lt;=0,"Sold Out",IF((InventoryTable[[#This Row],[Stock Balance]]/InventoryTable[[#This Row],[Total Pieces]])&lt;=0.25,"Low on Stocks","Available")))</f>
        <v/>
      </c>
    </row>
    <row r="933" spans="1:25" x14ac:dyDescent="0.3">
      <c r="A933" t="str">
        <f>IF(C933="","",_xlfn.CONCAT(LEFT(InventoryTable[[#This Row],[Category]],1),InventoryTable[[#This Row],[Product Pricing Type]],ROW()))</f>
        <v/>
      </c>
      <c r="H933" t="str">
        <f t="shared" si="147"/>
        <v/>
      </c>
      <c r="K933" t="str">
        <f t="shared" si="148"/>
        <v/>
      </c>
      <c r="N933" t="str">
        <f t="shared" si="149"/>
        <v/>
      </c>
      <c r="P933" t="str">
        <f t="shared" si="150"/>
        <v/>
      </c>
      <c r="Q933" s="4" t="str">
        <f t="shared" si="151"/>
        <v/>
      </c>
      <c r="R933" t="str">
        <f t="shared" si="152"/>
        <v/>
      </c>
      <c r="S933" t="str">
        <f t="shared" si="153"/>
        <v/>
      </c>
      <c r="T933" t="str">
        <f>IF(C933="","",InventoryTable[[#This Row],[Profit per Unit]]*InventoryTable[[#This Row],[Total Pieces]])</f>
        <v/>
      </c>
      <c r="U933" t="str">
        <f t="shared" si="144"/>
        <v/>
      </c>
      <c r="V933" t="str">
        <f>IF(C933="","",H933-InventoryTable[[#This Row],[Units Sold]])</f>
        <v/>
      </c>
      <c r="W933" t="str">
        <f t="shared" si="145"/>
        <v/>
      </c>
      <c r="X933" t="str">
        <f t="shared" si="146"/>
        <v/>
      </c>
      <c r="Y933" t="str">
        <f>IF(C933="","",IF(InventoryTable[[#This Row],[Stock Balance]]&lt;=0,"Sold Out",IF((InventoryTable[[#This Row],[Stock Balance]]/InventoryTable[[#This Row],[Total Pieces]])&lt;=0.25,"Low on Stocks","Available")))</f>
        <v/>
      </c>
    </row>
    <row r="934" spans="1:25" x14ac:dyDescent="0.3">
      <c r="A934" t="str">
        <f>IF(C934="","",_xlfn.CONCAT(LEFT(InventoryTable[[#This Row],[Category]],1),InventoryTable[[#This Row],[Product Pricing Type]],ROW()))</f>
        <v/>
      </c>
      <c r="H934" t="str">
        <f t="shared" si="147"/>
        <v/>
      </c>
      <c r="K934" t="str">
        <f t="shared" si="148"/>
        <v/>
      </c>
      <c r="N934" t="str">
        <f t="shared" si="149"/>
        <v/>
      </c>
      <c r="P934" t="str">
        <f t="shared" si="150"/>
        <v/>
      </c>
      <c r="Q934" s="4" t="str">
        <f t="shared" si="151"/>
        <v/>
      </c>
      <c r="R934" t="str">
        <f t="shared" si="152"/>
        <v/>
      </c>
      <c r="S934" t="str">
        <f t="shared" si="153"/>
        <v/>
      </c>
      <c r="T934" t="str">
        <f>IF(C934="","",InventoryTable[[#This Row],[Profit per Unit]]*InventoryTable[[#This Row],[Total Pieces]])</f>
        <v/>
      </c>
      <c r="U934" t="str">
        <f t="shared" si="144"/>
        <v/>
      </c>
      <c r="V934" t="str">
        <f>IF(C934="","",H934-InventoryTable[[#This Row],[Units Sold]])</f>
        <v/>
      </c>
      <c r="W934" t="str">
        <f t="shared" si="145"/>
        <v/>
      </c>
      <c r="X934" t="str">
        <f t="shared" si="146"/>
        <v/>
      </c>
      <c r="Y934" t="str">
        <f>IF(C934="","",IF(InventoryTable[[#This Row],[Stock Balance]]&lt;=0,"Sold Out",IF((InventoryTable[[#This Row],[Stock Balance]]/InventoryTable[[#This Row],[Total Pieces]])&lt;=0.25,"Low on Stocks","Available")))</f>
        <v/>
      </c>
    </row>
    <row r="935" spans="1:25" x14ac:dyDescent="0.3">
      <c r="A935" t="str">
        <f>IF(C935="","",_xlfn.CONCAT(LEFT(InventoryTable[[#This Row],[Category]],1),InventoryTable[[#This Row],[Product Pricing Type]],ROW()))</f>
        <v/>
      </c>
      <c r="H935" t="str">
        <f t="shared" si="147"/>
        <v/>
      </c>
      <c r="K935" t="str">
        <f t="shared" si="148"/>
        <v/>
      </c>
      <c r="N935" t="str">
        <f t="shared" si="149"/>
        <v/>
      </c>
      <c r="P935" t="str">
        <f t="shared" si="150"/>
        <v/>
      </c>
      <c r="Q935" s="4" t="str">
        <f t="shared" si="151"/>
        <v/>
      </c>
      <c r="R935" t="str">
        <f t="shared" si="152"/>
        <v/>
      </c>
      <c r="S935" t="str">
        <f t="shared" si="153"/>
        <v/>
      </c>
      <c r="T935" t="str">
        <f>IF(C935="","",InventoryTable[[#This Row],[Profit per Unit]]*InventoryTable[[#This Row],[Total Pieces]])</f>
        <v/>
      </c>
      <c r="U935" t="str">
        <f t="shared" si="144"/>
        <v/>
      </c>
      <c r="V935" t="str">
        <f>IF(C935="","",H935-InventoryTable[[#This Row],[Units Sold]])</f>
        <v/>
      </c>
      <c r="W935" t="str">
        <f t="shared" si="145"/>
        <v/>
      </c>
      <c r="X935" t="str">
        <f t="shared" si="146"/>
        <v/>
      </c>
      <c r="Y935" t="str">
        <f>IF(C935="","",IF(InventoryTable[[#This Row],[Stock Balance]]&lt;=0,"Sold Out",IF((InventoryTable[[#This Row],[Stock Balance]]/InventoryTable[[#This Row],[Total Pieces]])&lt;=0.25,"Low on Stocks","Available")))</f>
        <v/>
      </c>
    </row>
    <row r="936" spans="1:25" x14ac:dyDescent="0.3">
      <c r="A936" t="str">
        <f>IF(C936="","",_xlfn.CONCAT(LEFT(InventoryTable[[#This Row],[Category]],1),InventoryTable[[#This Row],[Product Pricing Type]],ROW()))</f>
        <v/>
      </c>
      <c r="H936" t="str">
        <f t="shared" si="147"/>
        <v/>
      </c>
      <c r="K936" t="str">
        <f t="shared" si="148"/>
        <v/>
      </c>
      <c r="N936" t="str">
        <f t="shared" si="149"/>
        <v/>
      </c>
      <c r="P936" t="str">
        <f t="shared" si="150"/>
        <v/>
      </c>
      <c r="Q936" s="4" t="str">
        <f t="shared" si="151"/>
        <v/>
      </c>
      <c r="R936" t="str">
        <f t="shared" si="152"/>
        <v/>
      </c>
      <c r="S936" t="str">
        <f t="shared" si="153"/>
        <v/>
      </c>
      <c r="T936" t="str">
        <f>IF(C936="","",InventoryTable[[#This Row],[Profit per Unit]]*InventoryTable[[#This Row],[Total Pieces]])</f>
        <v/>
      </c>
      <c r="U936" t="str">
        <f t="shared" si="144"/>
        <v/>
      </c>
      <c r="V936" t="str">
        <f>IF(C936="","",H936-InventoryTable[[#This Row],[Units Sold]])</f>
        <v/>
      </c>
      <c r="W936" t="str">
        <f t="shared" si="145"/>
        <v/>
      </c>
      <c r="X936" t="str">
        <f t="shared" si="146"/>
        <v/>
      </c>
      <c r="Y936" t="str">
        <f>IF(C936="","",IF(InventoryTable[[#This Row],[Stock Balance]]&lt;=0,"Sold Out",IF((InventoryTable[[#This Row],[Stock Balance]]/InventoryTable[[#This Row],[Total Pieces]])&lt;=0.25,"Low on Stocks","Available")))</f>
        <v/>
      </c>
    </row>
    <row r="937" spans="1:25" x14ac:dyDescent="0.3">
      <c r="A937" t="str">
        <f>IF(C937="","",_xlfn.CONCAT(LEFT(InventoryTable[[#This Row],[Category]],1),InventoryTable[[#This Row],[Product Pricing Type]],ROW()))</f>
        <v/>
      </c>
      <c r="H937" t="str">
        <f t="shared" si="147"/>
        <v/>
      </c>
      <c r="K937" t="str">
        <f t="shared" si="148"/>
        <v/>
      </c>
      <c r="N937" t="str">
        <f t="shared" si="149"/>
        <v/>
      </c>
      <c r="P937" t="str">
        <f t="shared" si="150"/>
        <v/>
      </c>
      <c r="Q937" s="4" t="str">
        <f t="shared" si="151"/>
        <v/>
      </c>
      <c r="R937" t="str">
        <f t="shared" si="152"/>
        <v/>
      </c>
      <c r="S937" t="str">
        <f t="shared" si="153"/>
        <v/>
      </c>
      <c r="T937" t="str">
        <f>IF(C937="","",InventoryTable[[#This Row],[Profit per Unit]]*InventoryTable[[#This Row],[Total Pieces]])</f>
        <v/>
      </c>
      <c r="U937" t="str">
        <f t="shared" si="144"/>
        <v/>
      </c>
      <c r="V937" t="str">
        <f>IF(C937="","",H937-InventoryTable[[#This Row],[Units Sold]])</f>
        <v/>
      </c>
      <c r="W937" t="str">
        <f t="shared" si="145"/>
        <v/>
      </c>
      <c r="X937" t="str">
        <f t="shared" si="146"/>
        <v/>
      </c>
      <c r="Y937" t="str">
        <f>IF(C937="","",IF(InventoryTable[[#This Row],[Stock Balance]]&lt;=0,"Sold Out",IF((InventoryTable[[#This Row],[Stock Balance]]/InventoryTable[[#This Row],[Total Pieces]])&lt;=0.25,"Low on Stocks","Available")))</f>
        <v/>
      </c>
    </row>
    <row r="938" spans="1:25" x14ac:dyDescent="0.3">
      <c r="A938" t="str">
        <f>IF(C938="","",_xlfn.CONCAT(LEFT(InventoryTable[[#This Row],[Category]],1),InventoryTable[[#This Row],[Product Pricing Type]],ROW()))</f>
        <v/>
      </c>
      <c r="H938" t="str">
        <f t="shared" si="147"/>
        <v/>
      </c>
      <c r="K938" t="str">
        <f t="shared" si="148"/>
        <v/>
      </c>
      <c r="N938" t="str">
        <f t="shared" si="149"/>
        <v/>
      </c>
      <c r="P938" t="str">
        <f t="shared" si="150"/>
        <v/>
      </c>
      <c r="Q938" s="4" t="str">
        <f t="shared" si="151"/>
        <v/>
      </c>
      <c r="R938" t="str">
        <f t="shared" si="152"/>
        <v/>
      </c>
      <c r="S938" t="str">
        <f t="shared" si="153"/>
        <v/>
      </c>
      <c r="T938" t="str">
        <f>IF(C938="","",InventoryTable[[#This Row],[Profit per Unit]]*InventoryTable[[#This Row],[Total Pieces]])</f>
        <v/>
      </c>
      <c r="U938" t="str">
        <f t="shared" si="144"/>
        <v/>
      </c>
      <c r="V938" t="str">
        <f>IF(C938="","",H938-InventoryTable[[#This Row],[Units Sold]])</f>
        <v/>
      </c>
      <c r="W938" t="str">
        <f t="shared" si="145"/>
        <v/>
      </c>
      <c r="X938" t="str">
        <f t="shared" si="146"/>
        <v/>
      </c>
      <c r="Y938" t="str">
        <f>IF(C938="","",IF(InventoryTable[[#This Row],[Stock Balance]]&lt;=0,"Sold Out",IF((InventoryTable[[#This Row],[Stock Balance]]/InventoryTable[[#This Row],[Total Pieces]])&lt;=0.25,"Low on Stocks","Available")))</f>
        <v/>
      </c>
    </row>
    <row r="939" spans="1:25" x14ac:dyDescent="0.3">
      <c r="A939" t="str">
        <f>IF(C939="","",_xlfn.CONCAT(LEFT(InventoryTable[[#This Row],[Category]],1),InventoryTable[[#This Row],[Product Pricing Type]],ROW()))</f>
        <v/>
      </c>
      <c r="H939" t="str">
        <f t="shared" si="147"/>
        <v/>
      </c>
      <c r="K939" t="str">
        <f t="shared" si="148"/>
        <v/>
      </c>
      <c r="N939" t="str">
        <f t="shared" si="149"/>
        <v/>
      </c>
      <c r="P939" t="str">
        <f t="shared" si="150"/>
        <v/>
      </c>
      <c r="Q939" s="4" t="str">
        <f t="shared" si="151"/>
        <v/>
      </c>
      <c r="R939" t="str">
        <f t="shared" si="152"/>
        <v/>
      </c>
      <c r="S939" t="str">
        <f t="shared" si="153"/>
        <v/>
      </c>
      <c r="T939" t="str">
        <f>IF(C939="","",InventoryTable[[#This Row],[Profit per Unit]]*InventoryTable[[#This Row],[Total Pieces]])</f>
        <v/>
      </c>
      <c r="U939" t="str">
        <f t="shared" si="144"/>
        <v/>
      </c>
      <c r="V939" t="str">
        <f>IF(C939="","",H939-InventoryTable[[#This Row],[Units Sold]])</f>
        <v/>
      </c>
      <c r="W939" t="str">
        <f t="shared" si="145"/>
        <v/>
      </c>
      <c r="X939" t="str">
        <f t="shared" si="146"/>
        <v/>
      </c>
      <c r="Y939" t="str">
        <f>IF(C939="","",IF(InventoryTable[[#This Row],[Stock Balance]]&lt;=0,"Sold Out",IF((InventoryTable[[#This Row],[Stock Balance]]/InventoryTable[[#This Row],[Total Pieces]])&lt;=0.25,"Low on Stocks","Available")))</f>
        <v/>
      </c>
    </row>
    <row r="940" spans="1:25" x14ac:dyDescent="0.3">
      <c r="A940" t="str">
        <f>IF(C940="","",_xlfn.CONCAT(LEFT(InventoryTable[[#This Row],[Category]],1),InventoryTable[[#This Row],[Product Pricing Type]],ROW()))</f>
        <v/>
      </c>
      <c r="H940" t="str">
        <f t="shared" si="147"/>
        <v/>
      </c>
      <c r="K940" t="str">
        <f t="shared" si="148"/>
        <v/>
      </c>
      <c r="N940" t="str">
        <f t="shared" si="149"/>
        <v/>
      </c>
      <c r="P940" t="str">
        <f t="shared" si="150"/>
        <v/>
      </c>
      <c r="Q940" s="4" t="str">
        <f t="shared" si="151"/>
        <v/>
      </c>
      <c r="R940" t="str">
        <f t="shared" si="152"/>
        <v/>
      </c>
      <c r="S940" t="str">
        <f t="shared" si="153"/>
        <v/>
      </c>
      <c r="T940" t="str">
        <f>IF(C940="","",InventoryTable[[#This Row],[Profit per Unit]]*InventoryTable[[#This Row],[Total Pieces]])</f>
        <v/>
      </c>
      <c r="U940" t="str">
        <f t="shared" si="144"/>
        <v/>
      </c>
      <c r="V940" t="str">
        <f>IF(C940="","",H940-InventoryTable[[#This Row],[Units Sold]])</f>
        <v/>
      </c>
      <c r="W940" t="str">
        <f t="shared" si="145"/>
        <v/>
      </c>
      <c r="X940" t="str">
        <f t="shared" si="146"/>
        <v/>
      </c>
      <c r="Y940" t="str">
        <f>IF(C940="","",IF(InventoryTable[[#This Row],[Stock Balance]]&lt;=0,"Sold Out",IF((InventoryTable[[#This Row],[Stock Balance]]/InventoryTable[[#This Row],[Total Pieces]])&lt;=0.25,"Low on Stocks","Available")))</f>
        <v/>
      </c>
    </row>
    <row r="941" spans="1:25" x14ac:dyDescent="0.3">
      <c r="A941" t="str">
        <f>IF(C941="","",_xlfn.CONCAT(LEFT(InventoryTable[[#This Row],[Category]],1),InventoryTable[[#This Row],[Product Pricing Type]],ROW()))</f>
        <v/>
      </c>
      <c r="H941" t="str">
        <f t="shared" si="147"/>
        <v/>
      </c>
      <c r="K941" t="str">
        <f t="shared" si="148"/>
        <v/>
      </c>
      <c r="N941" t="str">
        <f t="shared" si="149"/>
        <v/>
      </c>
      <c r="P941" t="str">
        <f t="shared" si="150"/>
        <v/>
      </c>
      <c r="Q941" s="4" t="str">
        <f t="shared" si="151"/>
        <v/>
      </c>
      <c r="R941" t="str">
        <f t="shared" si="152"/>
        <v/>
      </c>
      <c r="S941" t="str">
        <f t="shared" si="153"/>
        <v/>
      </c>
      <c r="T941" t="str">
        <f>IF(C941="","",InventoryTable[[#This Row],[Profit per Unit]]*InventoryTable[[#This Row],[Total Pieces]])</f>
        <v/>
      </c>
      <c r="U941" t="str">
        <f t="shared" si="144"/>
        <v/>
      </c>
      <c r="V941" t="str">
        <f>IF(C941="","",H941-InventoryTable[[#This Row],[Units Sold]])</f>
        <v/>
      </c>
      <c r="W941" t="str">
        <f t="shared" si="145"/>
        <v/>
      </c>
      <c r="X941" t="str">
        <f t="shared" si="146"/>
        <v/>
      </c>
      <c r="Y941" t="str">
        <f>IF(C941="","",IF(InventoryTable[[#This Row],[Stock Balance]]&lt;=0,"Sold Out",IF((InventoryTable[[#This Row],[Stock Balance]]/InventoryTable[[#This Row],[Total Pieces]])&lt;=0.25,"Low on Stocks","Available")))</f>
        <v/>
      </c>
    </row>
    <row r="942" spans="1:25" x14ac:dyDescent="0.3">
      <c r="A942" t="str">
        <f>IF(C942="","",_xlfn.CONCAT(LEFT(InventoryTable[[#This Row],[Category]],1),InventoryTable[[#This Row],[Product Pricing Type]],ROW()))</f>
        <v/>
      </c>
      <c r="H942" t="str">
        <f t="shared" si="147"/>
        <v/>
      </c>
      <c r="K942" t="str">
        <f t="shared" si="148"/>
        <v/>
      </c>
      <c r="N942" t="str">
        <f t="shared" si="149"/>
        <v/>
      </c>
      <c r="P942" t="str">
        <f t="shared" si="150"/>
        <v/>
      </c>
      <c r="Q942" s="4" t="str">
        <f t="shared" si="151"/>
        <v/>
      </c>
      <c r="R942" t="str">
        <f t="shared" si="152"/>
        <v/>
      </c>
      <c r="S942" t="str">
        <f t="shared" si="153"/>
        <v/>
      </c>
      <c r="T942" t="str">
        <f>IF(C942="","",InventoryTable[[#This Row],[Profit per Unit]]*InventoryTable[[#This Row],[Total Pieces]])</f>
        <v/>
      </c>
      <c r="U942" t="str">
        <f t="shared" si="144"/>
        <v/>
      </c>
      <c r="V942" t="str">
        <f>IF(C942="","",H942-InventoryTable[[#This Row],[Units Sold]])</f>
        <v/>
      </c>
      <c r="W942" t="str">
        <f t="shared" si="145"/>
        <v/>
      </c>
      <c r="X942" t="str">
        <f t="shared" si="146"/>
        <v/>
      </c>
      <c r="Y942" t="str">
        <f>IF(C942="","",IF(InventoryTable[[#This Row],[Stock Balance]]&lt;=0,"Sold Out",IF((InventoryTable[[#This Row],[Stock Balance]]/InventoryTable[[#This Row],[Total Pieces]])&lt;=0.25,"Low on Stocks","Available")))</f>
        <v/>
      </c>
    </row>
    <row r="943" spans="1:25" x14ac:dyDescent="0.3">
      <c r="A943" t="str">
        <f>IF(C943="","",_xlfn.CONCAT(LEFT(InventoryTable[[#This Row],[Category]],1),InventoryTable[[#This Row],[Product Pricing Type]],ROW()))</f>
        <v/>
      </c>
      <c r="H943" t="str">
        <f t="shared" si="147"/>
        <v/>
      </c>
      <c r="K943" t="str">
        <f t="shared" si="148"/>
        <v/>
      </c>
      <c r="N943" t="str">
        <f t="shared" si="149"/>
        <v/>
      </c>
      <c r="P943" t="str">
        <f t="shared" si="150"/>
        <v/>
      </c>
      <c r="Q943" s="4" t="str">
        <f t="shared" si="151"/>
        <v/>
      </c>
      <c r="R943" t="str">
        <f t="shared" si="152"/>
        <v/>
      </c>
      <c r="S943" t="str">
        <f t="shared" si="153"/>
        <v/>
      </c>
      <c r="T943" t="str">
        <f>IF(C943="","",InventoryTable[[#This Row],[Profit per Unit]]*InventoryTable[[#This Row],[Total Pieces]])</f>
        <v/>
      </c>
      <c r="U943" t="str">
        <f t="shared" si="144"/>
        <v/>
      </c>
      <c r="V943" t="str">
        <f>IF(C943="","",H943-InventoryTable[[#This Row],[Units Sold]])</f>
        <v/>
      </c>
      <c r="W943" t="str">
        <f t="shared" si="145"/>
        <v/>
      </c>
      <c r="X943" t="str">
        <f t="shared" si="146"/>
        <v/>
      </c>
      <c r="Y943" t="str">
        <f>IF(C943="","",IF(InventoryTable[[#This Row],[Stock Balance]]&lt;=0,"Sold Out",IF((InventoryTable[[#This Row],[Stock Balance]]/InventoryTable[[#This Row],[Total Pieces]])&lt;=0.25,"Low on Stocks","Available")))</f>
        <v/>
      </c>
    </row>
    <row r="944" spans="1:25" x14ac:dyDescent="0.3">
      <c r="A944" t="str">
        <f>IF(C944="","",_xlfn.CONCAT(LEFT(InventoryTable[[#This Row],[Category]],1),InventoryTable[[#This Row],[Product Pricing Type]],ROW()))</f>
        <v/>
      </c>
      <c r="H944" t="str">
        <f t="shared" si="147"/>
        <v/>
      </c>
      <c r="K944" t="str">
        <f t="shared" si="148"/>
        <v/>
      </c>
      <c r="N944" t="str">
        <f t="shared" si="149"/>
        <v/>
      </c>
      <c r="P944" t="str">
        <f t="shared" si="150"/>
        <v/>
      </c>
      <c r="Q944" s="4" t="str">
        <f t="shared" si="151"/>
        <v/>
      </c>
      <c r="R944" t="str">
        <f t="shared" si="152"/>
        <v/>
      </c>
      <c r="S944" t="str">
        <f t="shared" si="153"/>
        <v/>
      </c>
      <c r="T944" t="str">
        <f>IF(C944="","",InventoryTable[[#This Row],[Profit per Unit]]*InventoryTable[[#This Row],[Total Pieces]])</f>
        <v/>
      </c>
      <c r="U944" t="str">
        <f t="shared" si="144"/>
        <v/>
      </c>
      <c r="V944" t="str">
        <f>IF(C944="","",H944-InventoryTable[[#This Row],[Units Sold]])</f>
        <v/>
      </c>
      <c r="W944" t="str">
        <f t="shared" si="145"/>
        <v/>
      </c>
      <c r="X944" t="str">
        <f t="shared" si="146"/>
        <v/>
      </c>
      <c r="Y944" t="str">
        <f>IF(C944="","",IF(InventoryTable[[#This Row],[Stock Balance]]&lt;=0,"Sold Out",IF((InventoryTable[[#This Row],[Stock Balance]]/InventoryTable[[#This Row],[Total Pieces]])&lt;=0.25,"Low on Stocks","Available")))</f>
        <v/>
      </c>
    </row>
    <row r="945" spans="1:25" x14ac:dyDescent="0.3">
      <c r="A945" t="str">
        <f>IF(C945="","",_xlfn.CONCAT(LEFT(InventoryTable[[#This Row],[Category]],1),InventoryTable[[#This Row],[Product Pricing Type]],ROW()))</f>
        <v/>
      </c>
      <c r="H945" t="str">
        <f t="shared" si="147"/>
        <v/>
      </c>
      <c r="K945" t="str">
        <f t="shared" si="148"/>
        <v/>
      </c>
      <c r="N945" t="str">
        <f t="shared" si="149"/>
        <v/>
      </c>
      <c r="P945" t="str">
        <f t="shared" si="150"/>
        <v/>
      </c>
      <c r="Q945" s="4" t="str">
        <f t="shared" si="151"/>
        <v/>
      </c>
      <c r="R945" t="str">
        <f t="shared" si="152"/>
        <v/>
      </c>
      <c r="S945" t="str">
        <f t="shared" si="153"/>
        <v/>
      </c>
      <c r="T945" t="str">
        <f>IF(C945="","",InventoryTable[[#This Row],[Profit per Unit]]*InventoryTable[[#This Row],[Total Pieces]])</f>
        <v/>
      </c>
      <c r="U945" t="str">
        <f t="shared" si="144"/>
        <v/>
      </c>
      <c r="V945" t="str">
        <f>IF(C945="","",H945-InventoryTable[[#This Row],[Units Sold]])</f>
        <v/>
      </c>
      <c r="W945" t="str">
        <f t="shared" si="145"/>
        <v/>
      </c>
      <c r="X945" t="str">
        <f t="shared" si="146"/>
        <v/>
      </c>
      <c r="Y945" t="str">
        <f>IF(C945="","",IF(InventoryTable[[#This Row],[Stock Balance]]&lt;=0,"Sold Out",IF((InventoryTable[[#This Row],[Stock Balance]]/InventoryTable[[#This Row],[Total Pieces]])&lt;=0.25,"Low on Stocks","Available")))</f>
        <v/>
      </c>
    </row>
    <row r="946" spans="1:25" x14ac:dyDescent="0.3">
      <c r="A946" t="str">
        <f>IF(C946="","",_xlfn.CONCAT(LEFT(InventoryTable[[#This Row],[Category]],1),InventoryTable[[#This Row],[Product Pricing Type]],ROW()))</f>
        <v/>
      </c>
      <c r="H946" t="str">
        <f t="shared" si="147"/>
        <v/>
      </c>
      <c r="K946" t="str">
        <f t="shared" si="148"/>
        <v/>
      </c>
      <c r="N946" t="str">
        <f t="shared" si="149"/>
        <v/>
      </c>
      <c r="P946" t="str">
        <f t="shared" si="150"/>
        <v/>
      </c>
      <c r="Q946" s="4" t="str">
        <f t="shared" si="151"/>
        <v/>
      </c>
      <c r="R946" t="str">
        <f t="shared" si="152"/>
        <v/>
      </c>
      <c r="S946" t="str">
        <f t="shared" si="153"/>
        <v/>
      </c>
      <c r="T946" t="str">
        <f>IF(C946="","",InventoryTable[[#This Row],[Profit per Unit]]*InventoryTable[[#This Row],[Total Pieces]])</f>
        <v/>
      </c>
      <c r="U946" t="str">
        <f t="shared" si="144"/>
        <v/>
      </c>
      <c r="V946" t="str">
        <f>IF(C946="","",H946-InventoryTable[[#This Row],[Units Sold]])</f>
        <v/>
      </c>
      <c r="W946" t="str">
        <f t="shared" si="145"/>
        <v/>
      </c>
      <c r="X946" t="str">
        <f t="shared" si="146"/>
        <v/>
      </c>
      <c r="Y946" t="str">
        <f>IF(C946="","",IF(InventoryTable[[#This Row],[Stock Balance]]&lt;=0,"Sold Out",IF((InventoryTable[[#This Row],[Stock Balance]]/InventoryTable[[#This Row],[Total Pieces]])&lt;=0.25,"Low on Stocks","Available")))</f>
        <v/>
      </c>
    </row>
    <row r="947" spans="1:25" x14ac:dyDescent="0.3">
      <c r="A947" t="str">
        <f>IF(C947="","",_xlfn.CONCAT(LEFT(InventoryTable[[#This Row],[Category]],1),InventoryTable[[#This Row],[Product Pricing Type]],ROW()))</f>
        <v/>
      </c>
      <c r="H947" t="str">
        <f t="shared" si="147"/>
        <v/>
      </c>
      <c r="K947" t="str">
        <f t="shared" si="148"/>
        <v/>
      </c>
      <c r="N947" t="str">
        <f t="shared" si="149"/>
        <v/>
      </c>
      <c r="P947" t="str">
        <f t="shared" si="150"/>
        <v/>
      </c>
      <c r="Q947" s="4" t="str">
        <f t="shared" si="151"/>
        <v/>
      </c>
      <c r="R947" t="str">
        <f t="shared" si="152"/>
        <v/>
      </c>
      <c r="S947" t="str">
        <f t="shared" si="153"/>
        <v/>
      </c>
      <c r="T947" t="str">
        <f>IF(C947="","",InventoryTable[[#This Row],[Profit per Unit]]*InventoryTable[[#This Row],[Total Pieces]])</f>
        <v/>
      </c>
      <c r="U947" t="str">
        <f t="shared" si="144"/>
        <v/>
      </c>
      <c r="V947" t="str">
        <f>IF(C947="","",H947-InventoryTable[[#This Row],[Units Sold]])</f>
        <v/>
      </c>
      <c r="W947" t="str">
        <f t="shared" si="145"/>
        <v/>
      </c>
      <c r="X947" t="str">
        <f t="shared" si="146"/>
        <v/>
      </c>
      <c r="Y947" t="str">
        <f>IF(C947="","",IF(InventoryTable[[#This Row],[Stock Balance]]&lt;=0,"Sold Out",IF((InventoryTable[[#This Row],[Stock Balance]]/InventoryTable[[#This Row],[Total Pieces]])&lt;=0.25,"Low on Stocks","Available")))</f>
        <v/>
      </c>
    </row>
    <row r="948" spans="1:25" x14ac:dyDescent="0.3">
      <c r="A948" t="str">
        <f>IF(C948="","",_xlfn.CONCAT(LEFT(InventoryTable[[#This Row],[Category]],1),InventoryTable[[#This Row],[Product Pricing Type]],ROW()))</f>
        <v/>
      </c>
      <c r="H948" t="str">
        <f t="shared" si="147"/>
        <v/>
      </c>
      <c r="K948" t="str">
        <f t="shared" si="148"/>
        <v/>
      </c>
      <c r="N948" t="str">
        <f t="shared" si="149"/>
        <v/>
      </c>
      <c r="P948" t="str">
        <f t="shared" si="150"/>
        <v/>
      </c>
      <c r="Q948" s="4" t="str">
        <f t="shared" si="151"/>
        <v/>
      </c>
      <c r="R948" t="str">
        <f t="shared" si="152"/>
        <v/>
      </c>
      <c r="S948" t="str">
        <f t="shared" si="153"/>
        <v/>
      </c>
      <c r="T948" t="str">
        <f>IF(C948="","",InventoryTable[[#This Row],[Profit per Unit]]*InventoryTable[[#This Row],[Total Pieces]])</f>
        <v/>
      </c>
      <c r="U948" t="str">
        <f t="shared" si="144"/>
        <v/>
      </c>
      <c r="V948" t="str">
        <f>IF(C948="","",H948-InventoryTable[[#This Row],[Units Sold]])</f>
        <v/>
      </c>
      <c r="W948" t="str">
        <f t="shared" si="145"/>
        <v/>
      </c>
      <c r="X948" t="str">
        <f t="shared" si="146"/>
        <v/>
      </c>
      <c r="Y948" t="str">
        <f>IF(C948="","",IF(InventoryTable[[#This Row],[Stock Balance]]&lt;=0,"Sold Out",IF((InventoryTable[[#This Row],[Stock Balance]]/InventoryTable[[#This Row],[Total Pieces]])&lt;=0.25,"Low on Stocks","Available")))</f>
        <v/>
      </c>
    </row>
    <row r="949" spans="1:25" x14ac:dyDescent="0.3">
      <c r="A949" t="str">
        <f>IF(C949="","",_xlfn.CONCAT(LEFT(InventoryTable[[#This Row],[Category]],1),InventoryTable[[#This Row],[Product Pricing Type]],ROW()))</f>
        <v/>
      </c>
      <c r="H949" t="str">
        <f t="shared" si="147"/>
        <v/>
      </c>
      <c r="K949" t="str">
        <f t="shared" si="148"/>
        <v/>
      </c>
      <c r="N949" t="str">
        <f t="shared" si="149"/>
        <v/>
      </c>
      <c r="P949" t="str">
        <f t="shared" si="150"/>
        <v/>
      </c>
      <c r="Q949" s="4" t="str">
        <f t="shared" si="151"/>
        <v/>
      </c>
      <c r="R949" t="str">
        <f t="shared" si="152"/>
        <v/>
      </c>
      <c r="S949" t="str">
        <f t="shared" si="153"/>
        <v/>
      </c>
      <c r="T949" t="str">
        <f>IF(C949="","",InventoryTable[[#This Row],[Profit per Unit]]*InventoryTable[[#This Row],[Total Pieces]])</f>
        <v/>
      </c>
      <c r="U949" t="str">
        <f t="shared" si="144"/>
        <v/>
      </c>
      <c r="V949" t="str">
        <f>IF(C949="","",H949-InventoryTable[[#This Row],[Units Sold]])</f>
        <v/>
      </c>
      <c r="W949" t="str">
        <f t="shared" si="145"/>
        <v/>
      </c>
      <c r="X949" t="str">
        <f t="shared" si="146"/>
        <v/>
      </c>
      <c r="Y949" t="str">
        <f>IF(C949="","",IF(InventoryTable[[#This Row],[Stock Balance]]&lt;=0,"Sold Out",IF((InventoryTable[[#This Row],[Stock Balance]]/InventoryTable[[#This Row],[Total Pieces]])&lt;=0.25,"Low on Stocks","Available")))</f>
        <v/>
      </c>
    </row>
    <row r="950" spans="1:25" x14ac:dyDescent="0.3">
      <c r="A950" t="str">
        <f>IF(C950="","",_xlfn.CONCAT(LEFT(InventoryTable[[#This Row],[Category]],1),InventoryTable[[#This Row],[Product Pricing Type]],ROW()))</f>
        <v/>
      </c>
      <c r="H950" t="str">
        <f t="shared" si="147"/>
        <v/>
      </c>
      <c r="K950" t="str">
        <f t="shared" si="148"/>
        <v/>
      </c>
      <c r="N950" t="str">
        <f t="shared" si="149"/>
        <v/>
      </c>
      <c r="P950" t="str">
        <f t="shared" si="150"/>
        <v/>
      </c>
      <c r="Q950" s="4" t="str">
        <f t="shared" si="151"/>
        <v/>
      </c>
      <c r="R950" t="str">
        <f t="shared" si="152"/>
        <v/>
      </c>
      <c r="S950" t="str">
        <f t="shared" si="153"/>
        <v/>
      </c>
      <c r="T950" t="str">
        <f>IF(C950="","",InventoryTable[[#This Row],[Profit per Unit]]*InventoryTable[[#This Row],[Total Pieces]])</f>
        <v/>
      </c>
      <c r="U950" t="str">
        <f t="shared" si="144"/>
        <v/>
      </c>
      <c r="V950" t="str">
        <f>IF(C950="","",H950-InventoryTable[[#This Row],[Units Sold]])</f>
        <v/>
      </c>
      <c r="W950" t="str">
        <f t="shared" si="145"/>
        <v/>
      </c>
      <c r="X950" t="str">
        <f t="shared" si="146"/>
        <v/>
      </c>
      <c r="Y950" t="str">
        <f>IF(C950="","",IF(InventoryTable[[#This Row],[Stock Balance]]&lt;=0,"Sold Out",IF((InventoryTable[[#This Row],[Stock Balance]]/InventoryTable[[#This Row],[Total Pieces]])&lt;=0.25,"Low on Stocks","Available")))</f>
        <v/>
      </c>
    </row>
    <row r="951" spans="1:25" x14ac:dyDescent="0.3">
      <c r="A951" t="str">
        <f>IF(C951="","",_xlfn.CONCAT(LEFT(InventoryTable[[#This Row],[Category]],1),InventoryTable[[#This Row],[Product Pricing Type]],ROW()))</f>
        <v/>
      </c>
      <c r="H951" t="str">
        <f t="shared" si="147"/>
        <v/>
      </c>
      <c r="K951" t="str">
        <f t="shared" si="148"/>
        <v/>
      </c>
      <c r="N951" t="str">
        <f t="shared" si="149"/>
        <v/>
      </c>
      <c r="P951" t="str">
        <f t="shared" si="150"/>
        <v/>
      </c>
      <c r="Q951" s="4" t="str">
        <f t="shared" si="151"/>
        <v/>
      </c>
      <c r="R951" t="str">
        <f t="shared" si="152"/>
        <v/>
      </c>
      <c r="S951" t="str">
        <f t="shared" si="153"/>
        <v/>
      </c>
      <c r="T951" t="str">
        <f>IF(C951="","",InventoryTable[[#This Row],[Profit per Unit]]*InventoryTable[[#This Row],[Total Pieces]])</f>
        <v/>
      </c>
      <c r="U951" t="str">
        <f t="shared" si="144"/>
        <v/>
      </c>
      <c r="V951" t="str">
        <f>IF(C951="","",H951-InventoryTable[[#This Row],[Units Sold]])</f>
        <v/>
      </c>
      <c r="W951" t="str">
        <f t="shared" si="145"/>
        <v/>
      </c>
      <c r="X951" t="str">
        <f t="shared" si="146"/>
        <v/>
      </c>
      <c r="Y951" t="str">
        <f>IF(C951="","",IF(InventoryTable[[#This Row],[Stock Balance]]&lt;=0,"Sold Out",IF((InventoryTable[[#This Row],[Stock Balance]]/InventoryTable[[#This Row],[Total Pieces]])&lt;=0.25,"Low on Stocks","Available")))</f>
        <v/>
      </c>
    </row>
    <row r="952" spans="1:25" x14ac:dyDescent="0.3">
      <c r="A952" t="str">
        <f>IF(C952="","",_xlfn.CONCAT(LEFT(InventoryTable[[#This Row],[Category]],1),InventoryTable[[#This Row],[Product Pricing Type]],ROW()))</f>
        <v/>
      </c>
      <c r="H952" t="str">
        <f t="shared" si="147"/>
        <v/>
      </c>
      <c r="K952" t="str">
        <f t="shared" si="148"/>
        <v/>
      </c>
      <c r="N952" t="str">
        <f t="shared" si="149"/>
        <v/>
      </c>
      <c r="P952" t="str">
        <f t="shared" si="150"/>
        <v/>
      </c>
      <c r="Q952" s="4" t="str">
        <f t="shared" si="151"/>
        <v/>
      </c>
      <c r="R952" t="str">
        <f t="shared" si="152"/>
        <v/>
      </c>
      <c r="S952" t="str">
        <f t="shared" si="153"/>
        <v/>
      </c>
      <c r="T952" t="str">
        <f>IF(C952="","",InventoryTable[[#This Row],[Profit per Unit]]*InventoryTable[[#This Row],[Total Pieces]])</f>
        <v/>
      </c>
      <c r="U952" t="str">
        <f t="shared" si="144"/>
        <v/>
      </c>
      <c r="V952" t="str">
        <f>IF(C952="","",H952-InventoryTable[[#This Row],[Units Sold]])</f>
        <v/>
      </c>
      <c r="W952" t="str">
        <f t="shared" si="145"/>
        <v/>
      </c>
      <c r="X952" t="str">
        <f t="shared" si="146"/>
        <v/>
      </c>
      <c r="Y952" t="str">
        <f>IF(C952="","",IF(InventoryTable[[#This Row],[Stock Balance]]&lt;=0,"Sold Out",IF((InventoryTable[[#This Row],[Stock Balance]]/InventoryTable[[#This Row],[Total Pieces]])&lt;=0.25,"Low on Stocks","Available")))</f>
        <v/>
      </c>
    </row>
    <row r="953" spans="1:25" x14ac:dyDescent="0.3">
      <c r="A953" t="str">
        <f>IF(C953="","",_xlfn.CONCAT(LEFT(InventoryTable[[#This Row],[Category]],1),InventoryTable[[#This Row],[Product Pricing Type]],ROW()))</f>
        <v/>
      </c>
      <c r="H953" t="str">
        <f t="shared" si="147"/>
        <v/>
      </c>
      <c r="K953" t="str">
        <f t="shared" si="148"/>
        <v/>
      </c>
      <c r="N953" t="str">
        <f t="shared" si="149"/>
        <v/>
      </c>
      <c r="P953" t="str">
        <f t="shared" si="150"/>
        <v/>
      </c>
      <c r="Q953" s="4" t="str">
        <f t="shared" si="151"/>
        <v/>
      </c>
      <c r="R953" t="str">
        <f t="shared" si="152"/>
        <v/>
      </c>
      <c r="S953" t="str">
        <f t="shared" si="153"/>
        <v/>
      </c>
      <c r="T953" t="str">
        <f>IF(C953="","",InventoryTable[[#This Row],[Profit per Unit]]*InventoryTable[[#This Row],[Total Pieces]])</f>
        <v/>
      </c>
      <c r="U953" t="str">
        <f t="shared" si="144"/>
        <v/>
      </c>
      <c r="V953" t="str">
        <f>IF(C953="","",H953-InventoryTable[[#This Row],[Units Sold]])</f>
        <v/>
      </c>
      <c r="W953" t="str">
        <f t="shared" si="145"/>
        <v/>
      </c>
      <c r="X953" t="str">
        <f t="shared" si="146"/>
        <v/>
      </c>
      <c r="Y953" t="str">
        <f>IF(C953="","",IF(InventoryTable[[#This Row],[Stock Balance]]&lt;=0,"Sold Out",IF((InventoryTable[[#This Row],[Stock Balance]]/InventoryTable[[#This Row],[Total Pieces]])&lt;=0.25,"Low on Stocks","Available")))</f>
        <v/>
      </c>
    </row>
    <row r="954" spans="1:25" x14ac:dyDescent="0.3">
      <c r="A954" t="str">
        <f>IF(C954="","",_xlfn.CONCAT(LEFT(InventoryTable[[#This Row],[Category]],1),InventoryTable[[#This Row],[Product Pricing Type]],ROW()))</f>
        <v/>
      </c>
      <c r="H954" t="str">
        <f t="shared" si="147"/>
        <v/>
      </c>
      <c r="K954" t="str">
        <f t="shared" si="148"/>
        <v/>
      </c>
      <c r="N954" t="str">
        <f t="shared" si="149"/>
        <v/>
      </c>
      <c r="P954" t="str">
        <f t="shared" si="150"/>
        <v/>
      </c>
      <c r="Q954" s="4" t="str">
        <f t="shared" si="151"/>
        <v/>
      </c>
      <c r="R954" t="str">
        <f t="shared" si="152"/>
        <v/>
      </c>
      <c r="S954" t="str">
        <f t="shared" si="153"/>
        <v/>
      </c>
      <c r="T954" t="str">
        <f>IF(C954="","",InventoryTable[[#This Row],[Profit per Unit]]*InventoryTable[[#This Row],[Total Pieces]])</f>
        <v/>
      </c>
      <c r="U954" t="str">
        <f t="shared" si="144"/>
        <v/>
      </c>
      <c r="V954" t="str">
        <f>IF(C954="","",H954-InventoryTable[[#This Row],[Units Sold]])</f>
        <v/>
      </c>
      <c r="W954" t="str">
        <f t="shared" si="145"/>
        <v/>
      </c>
      <c r="X954" t="str">
        <f t="shared" si="146"/>
        <v/>
      </c>
      <c r="Y954" t="str">
        <f>IF(C954="","",IF(InventoryTable[[#This Row],[Stock Balance]]&lt;=0,"Sold Out",IF((InventoryTable[[#This Row],[Stock Balance]]/InventoryTable[[#This Row],[Total Pieces]])&lt;=0.25,"Low on Stocks","Available")))</f>
        <v/>
      </c>
    </row>
    <row r="955" spans="1:25" x14ac:dyDescent="0.3">
      <c r="A955" t="str">
        <f>IF(C955="","",_xlfn.CONCAT(LEFT(InventoryTable[[#This Row],[Category]],1),InventoryTable[[#This Row],[Product Pricing Type]],ROW()))</f>
        <v/>
      </c>
      <c r="H955" t="str">
        <f t="shared" si="147"/>
        <v/>
      </c>
      <c r="K955" t="str">
        <f t="shared" si="148"/>
        <v/>
      </c>
      <c r="N955" t="str">
        <f t="shared" si="149"/>
        <v/>
      </c>
      <c r="P955" t="str">
        <f t="shared" si="150"/>
        <v/>
      </c>
      <c r="Q955" s="4" t="str">
        <f t="shared" si="151"/>
        <v/>
      </c>
      <c r="R955" t="str">
        <f t="shared" si="152"/>
        <v/>
      </c>
      <c r="S955" t="str">
        <f t="shared" si="153"/>
        <v/>
      </c>
      <c r="T955" t="str">
        <f>IF(C955="","",InventoryTable[[#This Row],[Profit per Unit]]*InventoryTable[[#This Row],[Total Pieces]])</f>
        <v/>
      </c>
      <c r="U955" t="str">
        <f t="shared" si="144"/>
        <v/>
      </c>
      <c r="V955" t="str">
        <f>IF(C955="","",H955-InventoryTable[[#This Row],[Units Sold]])</f>
        <v/>
      </c>
      <c r="W955" t="str">
        <f t="shared" si="145"/>
        <v/>
      </c>
      <c r="X955" t="str">
        <f t="shared" si="146"/>
        <v/>
      </c>
      <c r="Y955" t="str">
        <f>IF(C955="","",IF(InventoryTable[[#This Row],[Stock Balance]]&lt;=0,"Sold Out",IF((InventoryTable[[#This Row],[Stock Balance]]/InventoryTable[[#This Row],[Total Pieces]])&lt;=0.25,"Low on Stocks","Available")))</f>
        <v/>
      </c>
    </row>
    <row r="956" spans="1:25" x14ac:dyDescent="0.3">
      <c r="A956" t="str">
        <f>IF(C956="","",_xlfn.CONCAT(LEFT(InventoryTable[[#This Row],[Category]],1),InventoryTable[[#This Row],[Product Pricing Type]],ROW()))</f>
        <v/>
      </c>
      <c r="H956" t="str">
        <f t="shared" si="147"/>
        <v/>
      </c>
      <c r="K956" t="str">
        <f t="shared" si="148"/>
        <v/>
      </c>
      <c r="N956" t="str">
        <f t="shared" si="149"/>
        <v/>
      </c>
      <c r="P956" t="str">
        <f t="shared" si="150"/>
        <v/>
      </c>
      <c r="Q956" s="4" t="str">
        <f t="shared" si="151"/>
        <v/>
      </c>
      <c r="R956" t="str">
        <f t="shared" si="152"/>
        <v/>
      </c>
      <c r="S956" t="str">
        <f t="shared" si="153"/>
        <v/>
      </c>
      <c r="T956" t="str">
        <f>IF(C956="","",InventoryTable[[#This Row],[Profit per Unit]]*InventoryTable[[#This Row],[Total Pieces]])</f>
        <v/>
      </c>
      <c r="U956" t="str">
        <f t="shared" si="144"/>
        <v/>
      </c>
      <c r="V956" t="str">
        <f>IF(C956="","",H956-InventoryTable[[#This Row],[Units Sold]])</f>
        <v/>
      </c>
      <c r="W956" t="str">
        <f t="shared" si="145"/>
        <v/>
      </c>
      <c r="X956" t="str">
        <f t="shared" si="146"/>
        <v/>
      </c>
      <c r="Y956" t="str">
        <f>IF(C956="","",IF(InventoryTable[[#This Row],[Stock Balance]]&lt;=0,"Sold Out",IF((InventoryTable[[#This Row],[Stock Balance]]/InventoryTable[[#This Row],[Total Pieces]])&lt;=0.25,"Low on Stocks","Available")))</f>
        <v/>
      </c>
    </row>
    <row r="957" spans="1:25" x14ac:dyDescent="0.3">
      <c r="A957" t="str">
        <f>IF(C957="","",_xlfn.CONCAT(LEFT(InventoryTable[[#This Row],[Category]],1),InventoryTable[[#This Row],[Product Pricing Type]],ROW()))</f>
        <v/>
      </c>
      <c r="H957" t="str">
        <f t="shared" si="147"/>
        <v/>
      </c>
      <c r="K957" t="str">
        <f t="shared" si="148"/>
        <v/>
      </c>
      <c r="N957" t="str">
        <f t="shared" si="149"/>
        <v/>
      </c>
      <c r="P957" t="str">
        <f t="shared" si="150"/>
        <v/>
      </c>
      <c r="Q957" s="4" t="str">
        <f t="shared" si="151"/>
        <v/>
      </c>
      <c r="R957" t="str">
        <f t="shared" si="152"/>
        <v/>
      </c>
      <c r="S957" t="str">
        <f t="shared" si="153"/>
        <v/>
      </c>
      <c r="T957" t="str">
        <f>IF(C957="","",InventoryTable[[#This Row],[Profit per Unit]]*InventoryTable[[#This Row],[Total Pieces]])</f>
        <v/>
      </c>
      <c r="U957" t="str">
        <f t="shared" ref="U957:U990" si="154">IF(C957="","",0)</f>
        <v/>
      </c>
      <c r="V957" t="str">
        <f>IF(C957="","",H957-InventoryTable[[#This Row],[Units Sold]])</f>
        <v/>
      </c>
      <c r="W957" t="str">
        <f t="shared" ref="W957:W990" si="155">IF(C957="","",Q957*U957)</f>
        <v/>
      </c>
      <c r="X957" t="str">
        <f t="shared" ref="X957:X990" si="156">IF(C957="","",S957*U957)</f>
        <v/>
      </c>
      <c r="Y957" t="str">
        <f>IF(C957="","",IF(InventoryTable[[#This Row],[Stock Balance]]&lt;=0,"Sold Out",IF((InventoryTable[[#This Row],[Stock Balance]]/InventoryTable[[#This Row],[Total Pieces]])&lt;=0.25,"Low on Stocks","Available")))</f>
        <v/>
      </c>
    </row>
    <row r="958" spans="1:25" x14ac:dyDescent="0.3">
      <c r="A958" t="str">
        <f>IF(C958="","",_xlfn.CONCAT(LEFT(InventoryTable[[#This Row],[Category]],1),InventoryTable[[#This Row],[Product Pricing Type]],ROW()))</f>
        <v/>
      </c>
      <c r="H958" t="str">
        <f t="shared" si="147"/>
        <v/>
      </c>
      <c r="K958" t="str">
        <f t="shared" si="148"/>
        <v/>
      </c>
      <c r="N958" t="str">
        <f t="shared" si="149"/>
        <v/>
      </c>
      <c r="P958" t="str">
        <f t="shared" si="150"/>
        <v/>
      </c>
      <c r="Q958" s="4" t="str">
        <f t="shared" si="151"/>
        <v/>
      </c>
      <c r="R958" t="str">
        <f t="shared" si="152"/>
        <v/>
      </c>
      <c r="S958" t="str">
        <f t="shared" si="153"/>
        <v/>
      </c>
      <c r="T958" t="str">
        <f>IF(C958="","",InventoryTable[[#This Row],[Profit per Unit]]*InventoryTable[[#This Row],[Total Pieces]])</f>
        <v/>
      </c>
      <c r="U958" t="str">
        <f t="shared" si="154"/>
        <v/>
      </c>
      <c r="V958" t="str">
        <f>IF(C958="","",H958-InventoryTable[[#This Row],[Units Sold]])</f>
        <v/>
      </c>
      <c r="W958" t="str">
        <f t="shared" si="155"/>
        <v/>
      </c>
      <c r="X958" t="str">
        <f t="shared" si="156"/>
        <v/>
      </c>
      <c r="Y958" t="str">
        <f>IF(C958="","",IF(InventoryTable[[#This Row],[Stock Balance]]&lt;=0,"Sold Out",IF((InventoryTable[[#This Row],[Stock Balance]]/InventoryTable[[#This Row],[Total Pieces]])&lt;=0.25,"Low on Stocks","Available")))</f>
        <v/>
      </c>
    </row>
    <row r="959" spans="1:25" x14ac:dyDescent="0.3">
      <c r="A959" t="str">
        <f>IF(C959="","",_xlfn.CONCAT(LEFT(InventoryTable[[#This Row],[Category]],1),InventoryTable[[#This Row],[Product Pricing Type]],ROW()))</f>
        <v/>
      </c>
      <c r="H959" t="str">
        <f t="shared" si="147"/>
        <v/>
      </c>
      <c r="K959" t="str">
        <f t="shared" si="148"/>
        <v/>
      </c>
      <c r="N959" t="str">
        <f t="shared" si="149"/>
        <v/>
      </c>
      <c r="P959" t="str">
        <f t="shared" si="150"/>
        <v/>
      </c>
      <c r="Q959" s="4" t="str">
        <f t="shared" si="151"/>
        <v/>
      </c>
      <c r="R959" t="str">
        <f t="shared" si="152"/>
        <v/>
      </c>
      <c r="S959" t="str">
        <f t="shared" si="153"/>
        <v/>
      </c>
      <c r="T959" t="str">
        <f>IF(C959="","",InventoryTable[[#This Row],[Profit per Unit]]*InventoryTable[[#This Row],[Total Pieces]])</f>
        <v/>
      </c>
      <c r="U959" t="str">
        <f t="shared" si="154"/>
        <v/>
      </c>
      <c r="V959" t="str">
        <f>IF(C959="","",H959-InventoryTable[[#This Row],[Units Sold]])</f>
        <v/>
      </c>
      <c r="W959" t="str">
        <f t="shared" si="155"/>
        <v/>
      </c>
      <c r="X959" t="str">
        <f t="shared" si="156"/>
        <v/>
      </c>
      <c r="Y959" t="str">
        <f>IF(C959="","",IF(InventoryTable[[#This Row],[Stock Balance]]&lt;=0,"Sold Out",IF((InventoryTable[[#This Row],[Stock Balance]]/InventoryTable[[#This Row],[Total Pieces]])&lt;=0.25,"Low on Stocks","Available")))</f>
        <v/>
      </c>
    </row>
    <row r="960" spans="1:25" x14ac:dyDescent="0.3">
      <c r="A960" t="str">
        <f>IF(C960="","",_xlfn.CONCAT(LEFT(InventoryTable[[#This Row],[Category]],1),InventoryTable[[#This Row],[Product Pricing Type]],ROW()))</f>
        <v/>
      </c>
      <c r="H960" t="str">
        <f t="shared" si="147"/>
        <v/>
      </c>
      <c r="K960" t="str">
        <f t="shared" si="148"/>
        <v/>
      </c>
      <c r="N960" t="str">
        <f t="shared" si="149"/>
        <v/>
      </c>
      <c r="P960" t="str">
        <f t="shared" si="150"/>
        <v/>
      </c>
      <c r="Q960" s="4" t="str">
        <f t="shared" si="151"/>
        <v/>
      </c>
      <c r="R960" t="str">
        <f t="shared" si="152"/>
        <v/>
      </c>
      <c r="S960" t="str">
        <f t="shared" si="153"/>
        <v/>
      </c>
      <c r="T960" t="str">
        <f>IF(C960="","",InventoryTable[[#This Row],[Profit per Unit]]*InventoryTable[[#This Row],[Total Pieces]])</f>
        <v/>
      </c>
      <c r="U960" t="str">
        <f t="shared" si="154"/>
        <v/>
      </c>
      <c r="V960" t="str">
        <f>IF(C960="","",H960-InventoryTable[[#This Row],[Units Sold]])</f>
        <v/>
      </c>
      <c r="W960" t="str">
        <f t="shared" si="155"/>
        <v/>
      </c>
      <c r="X960" t="str">
        <f t="shared" si="156"/>
        <v/>
      </c>
      <c r="Y960" t="str">
        <f>IF(C960="","",IF(InventoryTable[[#This Row],[Stock Balance]]&lt;=0,"Sold Out",IF((InventoryTable[[#This Row],[Stock Balance]]/InventoryTable[[#This Row],[Total Pieces]])&lt;=0.25,"Low on Stocks","Available")))</f>
        <v/>
      </c>
    </row>
    <row r="961" spans="1:25" x14ac:dyDescent="0.3">
      <c r="A961" t="str">
        <f>IF(C961="","",_xlfn.CONCAT(LEFT(InventoryTable[[#This Row],[Category]],1),InventoryTable[[#This Row],[Product Pricing Type]],ROW()))</f>
        <v/>
      </c>
      <c r="H961" t="str">
        <f t="shared" si="147"/>
        <v/>
      </c>
      <c r="K961" t="str">
        <f t="shared" si="148"/>
        <v/>
      </c>
      <c r="N961" t="str">
        <f t="shared" si="149"/>
        <v/>
      </c>
      <c r="P961" t="str">
        <f t="shared" si="150"/>
        <v/>
      </c>
      <c r="Q961" s="4" t="str">
        <f t="shared" si="151"/>
        <v/>
      </c>
      <c r="R961" t="str">
        <f t="shared" si="152"/>
        <v/>
      </c>
      <c r="S961" t="str">
        <f t="shared" si="153"/>
        <v/>
      </c>
      <c r="T961" t="str">
        <f>IF(C961="","",InventoryTable[[#This Row],[Profit per Unit]]*InventoryTable[[#This Row],[Total Pieces]])</f>
        <v/>
      </c>
      <c r="U961" t="str">
        <f t="shared" si="154"/>
        <v/>
      </c>
      <c r="V961" t="str">
        <f>IF(C961="","",H961-InventoryTable[[#This Row],[Units Sold]])</f>
        <v/>
      </c>
      <c r="W961" t="str">
        <f t="shared" si="155"/>
        <v/>
      </c>
      <c r="X961" t="str">
        <f t="shared" si="156"/>
        <v/>
      </c>
      <c r="Y961" t="str">
        <f>IF(C961="","",IF(InventoryTable[[#This Row],[Stock Balance]]&lt;=0,"Sold Out",IF((InventoryTable[[#This Row],[Stock Balance]]/InventoryTable[[#This Row],[Total Pieces]])&lt;=0.25,"Low on Stocks","Available")))</f>
        <v/>
      </c>
    </row>
    <row r="962" spans="1:25" x14ac:dyDescent="0.3">
      <c r="A962" t="str">
        <f>IF(C962="","",_xlfn.CONCAT(LEFT(InventoryTable[[#This Row],[Category]],1),InventoryTable[[#This Row],[Product Pricing Type]],ROW()))</f>
        <v/>
      </c>
      <c r="H962" t="str">
        <f t="shared" si="147"/>
        <v/>
      </c>
      <c r="K962" t="str">
        <f t="shared" si="148"/>
        <v/>
      </c>
      <c r="N962" t="str">
        <f t="shared" si="149"/>
        <v/>
      </c>
      <c r="P962" t="str">
        <f t="shared" si="150"/>
        <v/>
      </c>
      <c r="Q962" s="4" t="str">
        <f t="shared" si="151"/>
        <v/>
      </c>
      <c r="R962" t="str">
        <f t="shared" si="152"/>
        <v/>
      </c>
      <c r="S962" t="str">
        <f t="shared" si="153"/>
        <v/>
      </c>
      <c r="T962" t="str">
        <f>IF(C962="","",InventoryTable[[#This Row],[Profit per Unit]]*InventoryTable[[#This Row],[Total Pieces]])</f>
        <v/>
      </c>
      <c r="U962" t="str">
        <f t="shared" si="154"/>
        <v/>
      </c>
      <c r="V962" t="str">
        <f>IF(C962="","",H962-InventoryTable[[#This Row],[Units Sold]])</f>
        <v/>
      </c>
      <c r="W962" t="str">
        <f t="shared" si="155"/>
        <v/>
      </c>
      <c r="X962" t="str">
        <f t="shared" si="156"/>
        <v/>
      </c>
      <c r="Y962" t="str">
        <f>IF(C962="","",IF(InventoryTable[[#This Row],[Stock Balance]]&lt;=0,"Sold Out",IF((InventoryTable[[#This Row],[Stock Balance]]/InventoryTable[[#This Row],[Total Pieces]])&lt;=0.25,"Low on Stocks","Available")))</f>
        <v/>
      </c>
    </row>
    <row r="963" spans="1:25" x14ac:dyDescent="0.3">
      <c r="A963" t="str">
        <f>IF(C963="","",_xlfn.CONCAT(LEFT(InventoryTable[[#This Row],[Category]],1),InventoryTable[[#This Row],[Product Pricing Type]],ROW()))</f>
        <v/>
      </c>
      <c r="H963" t="str">
        <f t="shared" si="147"/>
        <v/>
      </c>
      <c r="K963" t="str">
        <f t="shared" si="148"/>
        <v/>
      </c>
      <c r="N963" t="str">
        <f t="shared" si="149"/>
        <v/>
      </c>
      <c r="P963" t="str">
        <f t="shared" si="150"/>
        <v/>
      </c>
      <c r="Q963" s="4" t="str">
        <f t="shared" si="151"/>
        <v/>
      </c>
      <c r="R963" t="str">
        <f t="shared" si="152"/>
        <v/>
      </c>
      <c r="S963" t="str">
        <f t="shared" si="153"/>
        <v/>
      </c>
      <c r="T963" t="str">
        <f>IF(C963="","",InventoryTable[[#This Row],[Profit per Unit]]*InventoryTable[[#This Row],[Total Pieces]])</f>
        <v/>
      </c>
      <c r="U963" t="str">
        <f t="shared" si="154"/>
        <v/>
      </c>
      <c r="V963" t="str">
        <f>IF(C963="","",H963-InventoryTable[[#This Row],[Units Sold]])</f>
        <v/>
      </c>
      <c r="W963" t="str">
        <f t="shared" si="155"/>
        <v/>
      </c>
      <c r="X963" t="str">
        <f t="shared" si="156"/>
        <v/>
      </c>
      <c r="Y963" t="str">
        <f>IF(C963="","",IF(InventoryTable[[#This Row],[Stock Balance]]&lt;=0,"Sold Out",IF((InventoryTable[[#This Row],[Stock Balance]]/InventoryTable[[#This Row],[Total Pieces]])&lt;=0.25,"Low on Stocks","Available")))</f>
        <v/>
      </c>
    </row>
    <row r="964" spans="1:25" x14ac:dyDescent="0.3">
      <c r="A964" t="str">
        <f>IF(C964="","",_xlfn.CONCAT(LEFT(InventoryTable[[#This Row],[Category]],1),InventoryTable[[#This Row],[Product Pricing Type]],ROW()))</f>
        <v/>
      </c>
      <c r="H964" t="str">
        <f t="shared" si="147"/>
        <v/>
      </c>
      <c r="K964" t="str">
        <f t="shared" si="148"/>
        <v/>
      </c>
      <c r="N964" t="str">
        <f t="shared" si="149"/>
        <v/>
      </c>
      <c r="P964" t="str">
        <f t="shared" si="150"/>
        <v/>
      </c>
      <c r="Q964" s="4" t="str">
        <f t="shared" si="151"/>
        <v/>
      </c>
      <c r="R964" t="str">
        <f t="shared" si="152"/>
        <v/>
      </c>
      <c r="S964" t="str">
        <f t="shared" si="153"/>
        <v/>
      </c>
      <c r="T964" t="str">
        <f>IF(C964="","",InventoryTable[[#This Row],[Profit per Unit]]*InventoryTable[[#This Row],[Total Pieces]])</f>
        <v/>
      </c>
      <c r="U964" t="str">
        <f t="shared" si="154"/>
        <v/>
      </c>
      <c r="V964" t="str">
        <f>IF(C964="","",H964-InventoryTable[[#This Row],[Units Sold]])</f>
        <v/>
      </c>
      <c r="W964" t="str">
        <f t="shared" si="155"/>
        <v/>
      </c>
      <c r="X964" t="str">
        <f t="shared" si="156"/>
        <v/>
      </c>
      <c r="Y964" t="str">
        <f>IF(C964="","",IF(InventoryTable[[#This Row],[Stock Balance]]&lt;=0,"Sold Out",IF((InventoryTable[[#This Row],[Stock Balance]]/InventoryTable[[#This Row],[Total Pieces]])&lt;=0.25,"Low on Stocks","Available")))</f>
        <v/>
      </c>
    </row>
    <row r="965" spans="1:25" x14ac:dyDescent="0.3">
      <c r="A965" t="str">
        <f>IF(C965="","",_xlfn.CONCAT(LEFT(InventoryTable[[#This Row],[Category]],1),InventoryTable[[#This Row],[Product Pricing Type]],ROW()))</f>
        <v/>
      </c>
      <c r="H965" t="str">
        <f t="shared" si="147"/>
        <v/>
      </c>
      <c r="K965" t="str">
        <f t="shared" si="148"/>
        <v/>
      </c>
      <c r="N965" t="str">
        <f t="shared" si="149"/>
        <v/>
      </c>
      <c r="P965" t="str">
        <f t="shared" si="150"/>
        <v/>
      </c>
      <c r="Q965" s="4" t="str">
        <f t="shared" si="151"/>
        <v/>
      </c>
      <c r="R965" t="str">
        <f t="shared" si="152"/>
        <v/>
      </c>
      <c r="S965" t="str">
        <f t="shared" si="153"/>
        <v/>
      </c>
      <c r="T965" t="str">
        <f>IF(C965="","",InventoryTable[[#This Row],[Profit per Unit]]*InventoryTable[[#This Row],[Total Pieces]])</f>
        <v/>
      </c>
      <c r="U965" t="str">
        <f t="shared" si="154"/>
        <v/>
      </c>
      <c r="V965" t="str">
        <f>IF(C965="","",H965-InventoryTable[[#This Row],[Units Sold]])</f>
        <v/>
      </c>
      <c r="W965" t="str">
        <f t="shared" si="155"/>
        <v/>
      </c>
      <c r="X965" t="str">
        <f t="shared" si="156"/>
        <v/>
      </c>
      <c r="Y965" t="str">
        <f>IF(C965="","",IF(InventoryTable[[#This Row],[Stock Balance]]&lt;=0,"Sold Out",IF((InventoryTable[[#This Row],[Stock Balance]]/InventoryTable[[#This Row],[Total Pieces]])&lt;=0.25,"Low on Stocks","Available")))</f>
        <v/>
      </c>
    </row>
    <row r="966" spans="1:25" x14ac:dyDescent="0.3">
      <c r="A966" t="str">
        <f>IF(C966="","",_xlfn.CONCAT(LEFT(InventoryTable[[#This Row],[Category]],1),InventoryTable[[#This Row],[Product Pricing Type]],ROW()))</f>
        <v/>
      </c>
      <c r="H966" t="str">
        <f t="shared" si="147"/>
        <v/>
      </c>
      <c r="K966" t="str">
        <f t="shared" si="148"/>
        <v/>
      </c>
      <c r="N966" t="str">
        <f t="shared" si="149"/>
        <v/>
      </c>
      <c r="P966" t="str">
        <f t="shared" si="150"/>
        <v/>
      </c>
      <c r="Q966" s="4" t="str">
        <f t="shared" si="151"/>
        <v/>
      </c>
      <c r="R966" t="str">
        <f t="shared" si="152"/>
        <v/>
      </c>
      <c r="S966" t="str">
        <f t="shared" si="153"/>
        <v/>
      </c>
      <c r="T966" t="str">
        <f>IF(C966="","",InventoryTable[[#This Row],[Profit per Unit]]*InventoryTable[[#This Row],[Total Pieces]])</f>
        <v/>
      </c>
      <c r="U966" t="str">
        <f t="shared" si="154"/>
        <v/>
      </c>
      <c r="V966" t="str">
        <f>IF(C966="","",H966-InventoryTable[[#This Row],[Units Sold]])</f>
        <v/>
      </c>
      <c r="W966" t="str">
        <f t="shared" si="155"/>
        <v/>
      </c>
      <c r="X966" t="str">
        <f t="shared" si="156"/>
        <v/>
      </c>
      <c r="Y966" t="str">
        <f>IF(C966="","",IF(InventoryTable[[#This Row],[Stock Balance]]&lt;=0,"Sold Out",IF((InventoryTable[[#This Row],[Stock Balance]]/InventoryTable[[#This Row],[Total Pieces]])&lt;=0.25,"Low on Stocks","Available")))</f>
        <v/>
      </c>
    </row>
    <row r="967" spans="1:25" x14ac:dyDescent="0.3">
      <c r="A967" t="str">
        <f>IF(C967="","",_xlfn.CONCAT(LEFT(InventoryTable[[#This Row],[Category]],1),InventoryTable[[#This Row],[Product Pricing Type]],ROW()))</f>
        <v/>
      </c>
      <c r="H967" t="str">
        <f t="shared" si="147"/>
        <v/>
      </c>
      <c r="K967" t="str">
        <f t="shared" si="148"/>
        <v/>
      </c>
      <c r="N967" t="str">
        <f t="shared" si="149"/>
        <v/>
      </c>
      <c r="P967" t="str">
        <f t="shared" si="150"/>
        <v/>
      </c>
      <c r="Q967" s="4" t="str">
        <f t="shared" si="151"/>
        <v/>
      </c>
      <c r="R967" t="str">
        <f t="shared" si="152"/>
        <v/>
      </c>
      <c r="S967" t="str">
        <f t="shared" si="153"/>
        <v/>
      </c>
      <c r="T967" t="str">
        <f>IF(C967="","",InventoryTable[[#This Row],[Profit per Unit]]*InventoryTable[[#This Row],[Total Pieces]])</f>
        <v/>
      </c>
      <c r="U967" t="str">
        <f t="shared" si="154"/>
        <v/>
      </c>
      <c r="V967" t="str">
        <f>IF(C967="","",H967-InventoryTable[[#This Row],[Units Sold]])</f>
        <v/>
      </c>
      <c r="W967" t="str">
        <f t="shared" si="155"/>
        <v/>
      </c>
      <c r="X967" t="str">
        <f t="shared" si="156"/>
        <v/>
      </c>
      <c r="Y967" t="str">
        <f>IF(C967="","",IF(InventoryTable[[#This Row],[Stock Balance]]&lt;=0,"Sold Out",IF((InventoryTable[[#This Row],[Stock Balance]]/InventoryTable[[#This Row],[Total Pieces]])&lt;=0.25,"Low on Stocks","Available")))</f>
        <v/>
      </c>
    </row>
    <row r="968" spans="1:25" x14ac:dyDescent="0.3">
      <c r="A968" t="str">
        <f>IF(C968="","",_xlfn.CONCAT(LEFT(InventoryTable[[#This Row],[Category]],1),InventoryTable[[#This Row],[Product Pricing Type]],ROW()))</f>
        <v/>
      </c>
      <c r="H968" t="str">
        <f t="shared" si="147"/>
        <v/>
      </c>
      <c r="K968" t="str">
        <f t="shared" si="148"/>
        <v/>
      </c>
      <c r="N968" t="str">
        <f t="shared" si="149"/>
        <v/>
      </c>
      <c r="P968" t="str">
        <f t="shared" si="150"/>
        <v/>
      </c>
      <c r="Q968" s="4" t="str">
        <f t="shared" si="151"/>
        <v/>
      </c>
      <c r="R968" t="str">
        <f t="shared" si="152"/>
        <v/>
      </c>
      <c r="S968" t="str">
        <f t="shared" si="153"/>
        <v/>
      </c>
      <c r="T968" t="str">
        <f>IF(C968="","",InventoryTable[[#This Row],[Profit per Unit]]*InventoryTable[[#This Row],[Total Pieces]])</f>
        <v/>
      </c>
      <c r="U968" t="str">
        <f t="shared" si="154"/>
        <v/>
      </c>
      <c r="V968" t="str">
        <f>IF(C968="","",H968-InventoryTable[[#This Row],[Units Sold]])</f>
        <v/>
      </c>
      <c r="W968" t="str">
        <f t="shared" si="155"/>
        <v/>
      </c>
      <c r="X968" t="str">
        <f t="shared" si="156"/>
        <v/>
      </c>
      <c r="Y968" t="str">
        <f>IF(C968="","",IF(InventoryTable[[#This Row],[Stock Balance]]&lt;=0,"Sold Out",IF((InventoryTable[[#This Row],[Stock Balance]]/InventoryTable[[#This Row],[Total Pieces]])&lt;=0.25,"Low on Stocks","Available")))</f>
        <v/>
      </c>
    </row>
    <row r="969" spans="1:25" x14ac:dyDescent="0.3">
      <c r="A969" t="str">
        <f>IF(C969="","",_xlfn.CONCAT(LEFT(InventoryTable[[#This Row],[Category]],1),InventoryTable[[#This Row],[Product Pricing Type]],ROW()))</f>
        <v/>
      </c>
      <c r="H969" t="str">
        <f t="shared" si="147"/>
        <v/>
      </c>
      <c r="K969" t="str">
        <f t="shared" si="148"/>
        <v/>
      </c>
      <c r="N969" t="str">
        <f t="shared" si="149"/>
        <v/>
      </c>
      <c r="P969" t="str">
        <f t="shared" si="150"/>
        <v/>
      </c>
      <c r="Q969" s="4" t="str">
        <f t="shared" si="151"/>
        <v/>
      </c>
      <c r="R969" t="str">
        <f t="shared" si="152"/>
        <v/>
      </c>
      <c r="S969" t="str">
        <f t="shared" si="153"/>
        <v/>
      </c>
      <c r="T969" t="str">
        <f>IF(C969="","",InventoryTable[[#This Row],[Profit per Unit]]*InventoryTable[[#This Row],[Total Pieces]])</f>
        <v/>
      </c>
      <c r="U969" t="str">
        <f t="shared" si="154"/>
        <v/>
      </c>
      <c r="V969" t="str">
        <f>IF(C969="","",H969-InventoryTable[[#This Row],[Units Sold]])</f>
        <v/>
      </c>
      <c r="W969" t="str">
        <f t="shared" si="155"/>
        <v/>
      </c>
      <c r="X969" t="str">
        <f t="shared" si="156"/>
        <v/>
      </c>
      <c r="Y969" t="str">
        <f>IF(C969="","",IF(InventoryTable[[#This Row],[Stock Balance]]&lt;=0,"Sold Out",IF((InventoryTable[[#This Row],[Stock Balance]]/InventoryTable[[#This Row],[Total Pieces]])&lt;=0.25,"Low on Stocks","Available")))</f>
        <v/>
      </c>
    </row>
    <row r="970" spans="1:25" x14ac:dyDescent="0.3">
      <c r="A970" t="str">
        <f>IF(C970="","",_xlfn.CONCAT(LEFT(InventoryTable[[#This Row],[Category]],1),InventoryTable[[#This Row],[Product Pricing Type]],ROW()))</f>
        <v/>
      </c>
      <c r="H970" t="str">
        <f t="shared" si="147"/>
        <v/>
      </c>
      <c r="K970" t="str">
        <f t="shared" si="148"/>
        <v/>
      </c>
      <c r="N970" t="str">
        <f t="shared" si="149"/>
        <v/>
      </c>
      <c r="P970" t="str">
        <f t="shared" si="150"/>
        <v/>
      </c>
      <c r="Q970" s="4" t="str">
        <f t="shared" si="151"/>
        <v/>
      </c>
      <c r="R970" t="str">
        <f t="shared" si="152"/>
        <v/>
      </c>
      <c r="S970" t="str">
        <f t="shared" si="153"/>
        <v/>
      </c>
      <c r="T970" t="str">
        <f>IF(C970="","",InventoryTable[[#This Row],[Profit per Unit]]*InventoryTable[[#This Row],[Total Pieces]])</f>
        <v/>
      </c>
      <c r="U970" t="str">
        <f t="shared" si="154"/>
        <v/>
      </c>
      <c r="V970" t="str">
        <f>IF(C970="","",H970-InventoryTable[[#This Row],[Units Sold]])</f>
        <v/>
      </c>
      <c r="W970" t="str">
        <f t="shared" si="155"/>
        <v/>
      </c>
      <c r="X970" t="str">
        <f t="shared" si="156"/>
        <v/>
      </c>
      <c r="Y970" t="str">
        <f>IF(C970="","",IF(InventoryTable[[#This Row],[Stock Balance]]&lt;=0,"Sold Out",IF((InventoryTable[[#This Row],[Stock Balance]]/InventoryTable[[#This Row],[Total Pieces]])&lt;=0.25,"Low on Stocks","Available")))</f>
        <v/>
      </c>
    </row>
    <row r="971" spans="1:25" x14ac:dyDescent="0.3">
      <c r="A971" t="str">
        <f>IF(C971="","",_xlfn.CONCAT(LEFT(InventoryTable[[#This Row],[Category]],1),InventoryTable[[#This Row],[Product Pricing Type]],ROW()))</f>
        <v/>
      </c>
      <c r="H971" t="str">
        <f t="shared" si="147"/>
        <v/>
      </c>
      <c r="K971" t="str">
        <f t="shared" si="148"/>
        <v/>
      </c>
      <c r="N971" t="str">
        <f t="shared" si="149"/>
        <v/>
      </c>
      <c r="P971" t="str">
        <f t="shared" si="150"/>
        <v/>
      </c>
      <c r="Q971" s="4" t="str">
        <f t="shared" si="151"/>
        <v/>
      </c>
      <c r="R971" t="str">
        <f t="shared" si="152"/>
        <v/>
      </c>
      <c r="S971" t="str">
        <f t="shared" si="153"/>
        <v/>
      </c>
      <c r="T971" t="str">
        <f>IF(C971="","",InventoryTable[[#This Row],[Profit per Unit]]*InventoryTable[[#This Row],[Total Pieces]])</f>
        <v/>
      </c>
      <c r="U971" t="str">
        <f t="shared" si="154"/>
        <v/>
      </c>
      <c r="V971" t="str">
        <f>IF(C971="","",H971-InventoryTable[[#This Row],[Units Sold]])</f>
        <v/>
      </c>
      <c r="W971" t="str">
        <f t="shared" si="155"/>
        <v/>
      </c>
      <c r="X971" t="str">
        <f t="shared" si="156"/>
        <v/>
      </c>
      <c r="Y971" t="str">
        <f>IF(C971="","",IF(InventoryTable[[#This Row],[Stock Balance]]&lt;=0,"Sold Out",IF((InventoryTable[[#This Row],[Stock Balance]]/InventoryTable[[#This Row],[Total Pieces]])&lt;=0.25,"Low on Stocks","Available")))</f>
        <v/>
      </c>
    </row>
    <row r="972" spans="1:25" x14ac:dyDescent="0.3">
      <c r="A972" t="str">
        <f>IF(C972="","",_xlfn.CONCAT(LEFT(InventoryTable[[#This Row],[Category]],1),InventoryTable[[#This Row],[Product Pricing Type]],ROW()))</f>
        <v/>
      </c>
      <c r="H972" t="str">
        <f t="shared" si="147"/>
        <v/>
      </c>
      <c r="K972" t="str">
        <f t="shared" si="148"/>
        <v/>
      </c>
      <c r="N972" t="str">
        <f t="shared" si="149"/>
        <v/>
      </c>
      <c r="P972" t="str">
        <f t="shared" si="150"/>
        <v/>
      </c>
      <c r="Q972" s="4" t="str">
        <f t="shared" si="151"/>
        <v/>
      </c>
      <c r="R972" t="str">
        <f t="shared" si="152"/>
        <v/>
      </c>
      <c r="S972" t="str">
        <f t="shared" si="153"/>
        <v/>
      </c>
      <c r="T972" t="str">
        <f>IF(C972="","",InventoryTable[[#This Row],[Profit per Unit]]*InventoryTable[[#This Row],[Total Pieces]])</f>
        <v/>
      </c>
      <c r="U972" t="str">
        <f t="shared" si="154"/>
        <v/>
      </c>
      <c r="V972" t="str">
        <f>IF(C972="","",H972-InventoryTable[[#This Row],[Units Sold]])</f>
        <v/>
      </c>
      <c r="W972" t="str">
        <f t="shared" si="155"/>
        <v/>
      </c>
      <c r="X972" t="str">
        <f t="shared" si="156"/>
        <v/>
      </c>
      <c r="Y972" t="str">
        <f>IF(C972="","",IF(InventoryTable[[#This Row],[Stock Balance]]&lt;=0,"Sold Out",IF((InventoryTable[[#This Row],[Stock Balance]]/InventoryTable[[#This Row],[Total Pieces]])&lt;=0.25,"Low on Stocks","Available")))</f>
        <v/>
      </c>
    </row>
    <row r="973" spans="1:25" x14ac:dyDescent="0.3">
      <c r="A973" t="str">
        <f>IF(C973="","",_xlfn.CONCAT(LEFT(InventoryTable[[#This Row],[Category]],1),InventoryTable[[#This Row],[Product Pricing Type]],ROW()))</f>
        <v/>
      </c>
      <c r="H973" t="str">
        <f t="shared" si="147"/>
        <v/>
      </c>
      <c r="K973" t="str">
        <f t="shared" si="148"/>
        <v/>
      </c>
      <c r="N973" t="str">
        <f t="shared" si="149"/>
        <v/>
      </c>
      <c r="P973" t="str">
        <f t="shared" si="150"/>
        <v/>
      </c>
      <c r="Q973" s="4" t="str">
        <f t="shared" si="151"/>
        <v/>
      </c>
      <c r="R973" t="str">
        <f t="shared" si="152"/>
        <v/>
      </c>
      <c r="S973" t="str">
        <f t="shared" si="153"/>
        <v/>
      </c>
      <c r="T973" t="str">
        <f>IF(C973="","",InventoryTable[[#This Row],[Profit per Unit]]*InventoryTable[[#This Row],[Total Pieces]])</f>
        <v/>
      </c>
      <c r="U973" t="str">
        <f t="shared" si="154"/>
        <v/>
      </c>
      <c r="V973" t="str">
        <f>IF(C973="","",H973-InventoryTable[[#This Row],[Units Sold]])</f>
        <v/>
      </c>
      <c r="W973" t="str">
        <f t="shared" si="155"/>
        <v/>
      </c>
      <c r="X973" t="str">
        <f t="shared" si="156"/>
        <v/>
      </c>
      <c r="Y973" t="str">
        <f>IF(C973="","",IF(InventoryTable[[#This Row],[Stock Balance]]&lt;=0,"Sold Out",IF((InventoryTable[[#This Row],[Stock Balance]]/InventoryTable[[#This Row],[Total Pieces]])&lt;=0.25,"Low on Stocks","Available")))</f>
        <v/>
      </c>
    </row>
    <row r="974" spans="1:25" x14ac:dyDescent="0.3">
      <c r="A974" t="str">
        <f>IF(C974="","",_xlfn.CONCAT(LEFT(InventoryTable[[#This Row],[Category]],1),InventoryTable[[#This Row],[Product Pricing Type]],ROW()))</f>
        <v/>
      </c>
      <c r="H974" t="str">
        <f t="shared" si="147"/>
        <v/>
      </c>
      <c r="K974" t="str">
        <f t="shared" si="148"/>
        <v/>
      </c>
      <c r="N974" t="str">
        <f t="shared" si="149"/>
        <v/>
      </c>
      <c r="P974" t="str">
        <f t="shared" si="150"/>
        <v/>
      </c>
      <c r="Q974" s="4" t="str">
        <f t="shared" si="151"/>
        <v/>
      </c>
      <c r="R974" t="str">
        <f t="shared" si="152"/>
        <v/>
      </c>
      <c r="S974" t="str">
        <f t="shared" si="153"/>
        <v/>
      </c>
      <c r="T974" t="str">
        <f>IF(C974="","",InventoryTable[[#This Row],[Profit per Unit]]*InventoryTable[[#This Row],[Total Pieces]])</f>
        <v/>
      </c>
      <c r="U974" t="str">
        <f t="shared" si="154"/>
        <v/>
      </c>
      <c r="V974" t="str">
        <f>IF(C974="","",H974-InventoryTable[[#This Row],[Units Sold]])</f>
        <v/>
      </c>
      <c r="W974" t="str">
        <f t="shared" si="155"/>
        <v/>
      </c>
      <c r="X974" t="str">
        <f t="shared" si="156"/>
        <v/>
      </c>
      <c r="Y974" t="str">
        <f>IF(C974="","",IF(InventoryTable[[#This Row],[Stock Balance]]&lt;=0,"Sold Out",IF((InventoryTable[[#This Row],[Stock Balance]]/InventoryTable[[#This Row],[Total Pieces]])&lt;=0.25,"Low on Stocks","Available")))</f>
        <v/>
      </c>
    </row>
    <row r="975" spans="1:25" x14ac:dyDescent="0.3">
      <c r="A975" t="str">
        <f>IF(C975="","",_xlfn.CONCAT(LEFT(InventoryTable[[#This Row],[Category]],1),InventoryTable[[#This Row],[Product Pricing Type]],ROW()))</f>
        <v/>
      </c>
      <c r="H975" t="str">
        <f t="shared" si="147"/>
        <v/>
      </c>
      <c r="K975" t="str">
        <f t="shared" si="148"/>
        <v/>
      </c>
      <c r="N975" t="str">
        <f t="shared" si="149"/>
        <v/>
      </c>
      <c r="P975" t="str">
        <f t="shared" si="150"/>
        <v/>
      </c>
      <c r="Q975" s="4" t="str">
        <f t="shared" si="151"/>
        <v/>
      </c>
      <c r="R975" t="str">
        <f t="shared" si="152"/>
        <v/>
      </c>
      <c r="S975" t="str">
        <f t="shared" si="153"/>
        <v/>
      </c>
      <c r="T975" t="str">
        <f>IF(C975="","",InventoryTable[[#This Row],[Profit per Unit]]*InventoryTable[[#This Row],[Total Pieces]])</f>
        <v/>
      </c>
      <c r="U975" t="str">
        <f t="shared" si="154"/>
        <v/>
      </c>
      <c r="V975" t="str">
        <f>IF(C975="","",H975-InventoryTable[[#This Row],[Units Sold]])</f>
        <v/>
      </c>
      <c r="W975" t="str">
        <f t="shared" si="155"/>
        <v/>
      </c>
      <c r="X975" t="str">
        <f t="shared" si="156"/>
        <v/>
      </c>
      <c r="Y975" t="str">
        <f>IF(C975="","",IF(InventoryTable[[#This Row],[Stock Balance]]&lt;=0,"Sold Out",IF((InventoryTable[[#This Row],[Stock Balance]]/InventoryTable[[#This Row],[Total Pieces]])&lt;=0.25,"Low on Stocks","Available")))</f>
        <v/>
      </c>
    </row>
    <row r="976" spans="1:25" x14ac:dyDescent="0.3">
      <c r="A976" t="str">
        <f>IF(C976="","",_xlfn.CONCAT(LEFT(InventoryTable[[#This Row],[Category]],1),InventoryTable[[#This Row],[Product Pricing Type]],ROW()))</f>
        <v/>
      </c>
      <c r="H976" t="str">
        <f t="shared" si="147"/>
        <v/>
      </c>
      <c r="K976" t="str">
        <f t="shared" si="148"/>
        <v/>
      </c>
      <c r="N976" t="str">
        <f t="shared" si="149"/>
        <v/>
      </c>
      <c r="P976" t="str">
        <f t="shared" si="150"/>
        <v/>
      </c>
      <c r="Q976" s="4" t="str">
        <f t="shared" si="151"/>
        <v/>
      </c>
      <c r="R976" t="str">
        <f t="shared" si="152"/>
        <v/>
      </c>
      <c r="S976" t="str">
        <f t="shared" si="153"/>
        <v/>
      </c>
      <c r="T976" t="str">
        <f>IF(C976="","",InventoryTable[[#This Row],[Profit per Unit]]*InventoryTable[[#This Row],[Total Pieces]])</f>
        <v/>
      </c>
      <c r="U976" t="str">
        <f t="shared" si="154"/>
        <v/>
      </c>
      <c r="V976" t="str">
        <f>IF(C976="","",H976-InventoryTable[[#This Row],[Units Sold]])</f>
        <v/>
      </c>
      <c r="W976" t="str">
        <f t="shared" si="155"/>
        <v/>
      </c>
      <c r="X976" t="str">
        <f t="shared" si="156"/>
        <v/>
      </c>
      <c r="Y976" t="str">
        <f>IF(C976="","",IF(InventoryTable[[#This Row],[Stock Balance]]&lt;=0,"Sold Out",IF((InventoryTable[[#This Row],[Stock Balance]]/InventoryTable[[#This Row],[Total Pieces]])&lt;=0.25,"Low on Stocks","Available")))</f>
        <v/>
      </c>
    </row>
    <row r="977" spans="1:25" x14ac:dyDescent="0.3">
      <c r="A977" t="str">
        <f>IF(C977="","",_xlfn.CONCAT(LEFT(InventoryTable[[#This Row],[Category]],1),InventoryTable[[#This Row],[Product Pricing Type]],ROW()))</f>
        <v/>
      </c>
      <c r="H977" t="str">
        <f t="shared" si="147"/>
        <v/>
      </c>
      <c r="K977" t="str">
        <f t="shared" si="148"/>
        <v/>
      </c>
      <c r="N977" t="str">
        <f t="shared" si="149"/>
        <v/>
      </c>
      <c r="P977" t="str">
        <f t="shared" si="150"/>
        <v/>
      </c>
      <c r="Q977" s="4" t="str">
        <f t="shared" si="151"/>
        <v/>
      </c>
      <c r="R977" t="str">
        <f t="shared" si="152"/>
        <v/>
      </c>
      <c r="S977" t="str">
        <f t="shared" si="153"/>
        <v/>
      </c>
      <c r="T977" t="str">
        <f>IF(C977="","",InventoryTable[[#This Row],[Profit per Unit]]*InventoryTable[[#This Row],[Total Pieces]])</f>
        <v/>
      </c>
      <c r="U977" t="str">
        <f t="shared" si="154"/>
        <v/>
      </c>
      <c r="V977" t="str">
        <f>IF(C977="","",H977-InventoryTable[[#This Row],[Units Sold]])</f>
        <v/>
      </c>
      <c r="W977" t="str">
        <f t="shared" si="155"/>
        <v/>
      </c>
      <c r="X977" t="str">
        <f t="shared" si="156"/>
        <v/>
      </c>
      <c r="Y977" t="str">
        <f>IF(C977="","",IF(InventoryTable[[#This Row],[Stock Balance]]&lt;=0,"Sold Out",IF((InventoryTable[[#This Row],[Stock Balance]]/InventoryTable[[#This Row],[Total Pieces]])&lt;=0.25,"Low on Stocks","Available")))</f>
        <v/>
      </c>
    </row>
    <row r="978" spans="1:25" x14ac:dyDescent="0.3">
      <c r="A978" t="str">
        <f>IF(C978="","",_xlfn.CONCAT(LEFT(InventoryTable[[#This Row],[Category]],1),InventoryTable[[#This Row],[Product Pricing Type]],ROW()))</f>
        <v/>
      </c>
      <c r="H978" t="str">
        <f t="shared" si="147"/>
        <v/>
      </c>
      <c r="K978" t="str">
        <f t="shared" si="148"/>
        <v/>
      </c>
      <c r="N978" t="str">
        <f t="shared" si="149"/>
        <v/>
      </c>
      <c r="P978" t="str">
        <f t="shared" si="150"/>
        <v/>
      </c>
      <c r="Q978" s="4" t="str">
        <f t="shared" si="151"/>
        <v/>
      </c>
      <c r="R978" t="str">
        <f t="shared" si="152"/>
        <v/>
      </c>
      <c r="S978" t="str">
        <f t="shared" si="153"/>
        <v/>
      </c>
      <c r="T978" t="str">
        <f>IF(C978="","",InventoryTable[[#This Row],[Profit per Unit]]*InventoryTable[[#This Row],[Total Pieces]])</f>
        <v/>
      </c>
      <c r="U978" t="str">
        <f t="shared" si="154"/>
        <v/>
      </c>
      <c r="V978" t="str">
        <f>IF(C978="","",H978-InventoryTable[[#This Row],[Units Sold]])</f>
        <v/>
      </c>
      <c r="W978" t="str">
        <f t="shared" si="155"/>
        <v/>
      </c>
      <c r="X978" t="str">
        <f t="shared" si="156"/>
        <v/>
      </c>
      <c r="Y978" t="str">
        <f>IF(C978="","",IF(InventoryTable[[#This Row],[Stock Balance]]&lt;=0,"Sold Out",IF((InventoryTable[[#This Row],[Stock Balance]]/InventoryTable[[#This Row],[Total Pieces]])&lt;=0.25,"Low on Stocks","Available")))</f>
        <v/>
      </c>
    </row>
    <row r="979" spans="1:25" x14ac:dyDescent="0.3">
      <c r="A979" t="str">
        <f>IF(C979="","",_xlfn.CONCAT(LEFT(InventoryTable[[#This Row],[Category]],1),InventoryTable[[#This Row],[Product Pricing Type]],ROW()))</f>
        <v/>
      </c>
      <c r="H979" t="str">
        <f t="shared" si="147"/>
        <v/>
      </c>
      <c r="K979" t="str">
        <f t="shared" si="148"/>
        <v/>
      </c>
      <c r="N979" t="str">
        <f t="shared" si="149"/>
        <v/>
      </c>
      <c r="P979" t="str">
        <f t="shared" si="150"/>
        <v/>
      </c>
      <c r="Q979" s="4" t="str">
        <f t="shared" si="151"/>
        <v/>
      </c>
      <c r="R979" t="str">
        <f t="shared" si="152"/>
        <v/>
      </c>
      <c r="S979" t="str">
        <f t="shared" si="153"/>
        <v/>
      </c>
      <c r="T979" t="str">
        <f>IF(C979="","",InventoryTable[[#This Row],[Profit per Unit]]*InventoryTable[[#This Row],[Total Pieces]])</f>
        <v/>
      </c>
      <c r="U979" t="str">
        <f t="shared" si="154"/>
        <v/>
      </c>
      <c r="V979" t="str">
        <f>IF(C979="","",H979-InventoryTable[[#This Row],[Units Sold]])</f>
        <v/>
      </c>
      <c r="W979" t="str">
        <f t="shared" si="155"/>
        <v/>
      </c>
      <c r="X979" t="str">
        <f t="shared" si="156"/>
        <v/>
      </c>
      <c r="Y979" t="str">
        <f>IF(C979="","",IF(InventoryTable[[#This Row],[Stock Balance]]&lt;=0,"Sold Out",IF((InventoryTable[[#This Row],[Stock Balance]]/InventoryTable[[#This Row],[Total Pieces]])&lt;=0.25,"Low on Stocks","Available")))</f>
        <v/>
      </c>
    </row>
    <row r="980" spans="1:25" x14ac:dyDescent="0.3">
      <c r="A980" t="str">
        <f>IF(C980="","",_xlfn.CONCAT(LEFT(InventoryTable[[#This Row],[Category]],1),InventoryTable[[#This Row],[Product Pricing Type]],ROW()))</f>
        <v/>
      </c>
      <c r="H980" t="str">
        <f t="shared" si="147"/>
        <v/>
      </c>
      <c r="K980" t="str">
        <f t="shared" si="148"/>
        <v/>
      </c>
      <c r="N980" t="str">
        <f t="shared" si="149"/>
        <v/>
      </c>
      <c r="P980" t="str">
        <f t="shared" si="150"/>
        <v/>
      </c>
      <c r="Q980" s="4" t="str">
        <f t="shared" si="151"/>
        <v/>
      </c>
      <c r="R980" t="str">
        <f t="shared" si="152"/>
        <v/>
      </c>
      <c r="S980" t="str">
        <f t="shared" si="153"/>
        <v/>
      </c>
      <c r="T980" t="str">
        <f>IF(C980="","",InventoryTable[[#This Row],[Profit per Unit]]*InventoryTable[[#This Row],[Total Pieces]])</f>
        <v/>
      </c>
      <c r="U980" t="str">
        <f t="shared" si="154"/>
        <v/>
      </c>
      <c r="V980" t="str">
        <f>IF(C980="","",H980-InventoryTable[[#This Row],[Units Sold]])</f>
        <v/>
      </c>
      <c r="W980" t="str">
        <f t="shared" si="155"/>
        <v/>
      </c>
      <c r="X980" t="str">
        <f t="shared" si="156"/>
        <v/>
      </c>
      <c r="Y980" t="str">
        <f>IF(C980="","",IF(InventoryTable[[#This Row],[Stock Balance]]&lt;=0,"Sold Out",IF((InventoryTable[[#This Row],[Stock Balance]]/InventoryTable[[#This Row],[Total Pieces]])&lt;=0.25,"Low on Stocks","Available")))</f>
        <v/>
      </c>
    </row>
    <row r="981" spans="1:25" x14ac:dyDescent="0.3">
      <c r="A981" t="str">
        <f>IF(C981="","",_xlfn.CONCAT(LEFT(InventoryTable[[#This Row],[Category]],1),InventoryTable[[#This Row],[Product Pricing Type]],ROW()))</f>
        <v/>
      </c>
      <c r="H981" t="str">
        <f t="shared" si="147"/>
        <v/>
      </c>
      <c r="K981" t="str">
        <f t="shared" si="148"/>
        <v/>
      </c>
      <c r="N981" t="str">
        <f t="shared" si="149"/>
        <v/>
      </c>
      <c r="P981" t="str">
        <f t="shared" si="150"/>
        <v/>
      </c>
      <c r="Q981" s="4" t="str">
        <f t="shared" si="151"/>
        <v/>
      </c>
      <c r="R981" t="str">
        <f t="shared" si="152"/>
        <v/>
      </c>
      <c r="S981" t="str">
        <f t="shared" si="153"/>
        <v/>
      </c>
      <c r="T981" t="str">
        <f>IF(C981="","",InventoryTable[[#This Row],[Profit per Unit]]*InventoryTable[[#This Row],[Total Pieces]])</f>
        <v/>
      </c>
      <c r="U981" t="str">
        <f t="shared" si="154"/>
        <v/>
      </c>
      <c r="V981" t="str">
        <f>IF(C981="","",H981-InventoryTable[[#This Row],[Units Sold]])</f>
        <v/>
      </c>
      <c r="W981" t="str">
        <f t="shared" si="155"/>
        <v/>
      </c>
      <c r="X981" t="str">
        <f t="shared" si="156"/>
        <v/>
      </c>
      <c r="Y981" t="str">
        <f>IF(C981="","",IF(InventoryTable[[#This Row],[Stock Balance]]&lt;=0,"Sold Out",IF((InventoryTable[[#This Row],[Stock Balance]]/InventoryTable[[#This Row],[Total Pieces]])&lt;=0.25,"Low on Stocks","Available")))</f>
        <v/>
      </c>
    </row>
    <row r="982" spans="1:25" x14ac:dyDescent="0.3">
      <c r="A982" t="str">
        <f>IF(C982="","",_xlfn.CONCAT(LEFT(InventoryTable[[#This Row],[Category]],1),InventoryTable[[#This Row],[Product Pricing Type]],ROW()))</f>
        <v/>
      </c>
      <c r="H982" t="str">
        <f t="shared" si="147"/>
        <v/>
      </c>
      <c r="K982" t="str">
        <f t="shared" si="148"/>
        <v/>
      </c>
      <c r="N982" t="str">
        <f t="shared" si="149"/>
        <v/>
      </c>
      <c r="P982" t="str">
        <f t="shared" si="150"/>
        <v/>
      </c>
      <c r="Q982" s="4" t="str">
        <f t="shared" si="151"/>
        <v/>
      </c>
      <c r="R982" t="str">
        <f t="shared" si="152"/>
        <v/>
      </c>
      <c r="S982" t="str">
        <f t="shared" si="153"/>
        <v/>
      </c>
      <c r="T982" t="str">
        <f>IF(C982="","",InventoryTable[[#This Row],[Profit per Unit]]*InventoryTable[[#This Row],[Total Pieces]])</f>
        <v/>
      </c>
      <c r="U982" t="str">
        <f t="shared" si="154"/>
        <v/>
      </c>
      <c r="V982" t="str">
        <f>IF(C982="","",H982-InventoryTable[[#This Row],[Units Sold]])</f>
        <v/>
      </c>
      <c r="W982" t="str">
        <f t="shared" si="155"/>
        <v/>
      </c>
      <c r="X982" t="str">
        <f t="shared" si="156"/>
        <v/>
      </c>
      <c r="Y982" t="str">
        <f>IF(C982="","",IF(InventoryTable[[#This Row],[Stock Balance]]&lt;=0,"Sold Out",IF((InventoryTable[[#This Row],[Stock Balance]]/InventoryTable[[#This Row],[Total Pieces]])&lt;=0.25,"Low on Stocks","Available")))</f>
        <v/>
      </c>
    </row>
    <row r="983" spans="1:25" x14ac:dyDescent="0.3">
      <c r="A983" t="str">
        <f>IF(C983="","",_xlfn.CONCAT(LEFT(InventoryTable[[#This Row],[Category]],1),InventoryTable[[#This Row],[Product Pricing Type]],ROW()))</f>
        <v/>
      </c>
      <c r="H983" t="str">
        <f t="shared" si="147"/>
        <v/>
      </c>
      <c r="K983" t="str">
        <f t="shared" si="148"/>
        <v/>
      </c>
      <c r="N983" t="str">
        <f t="shared" si="149"/>
        <v/>
      </c>
      <c r="P983" t="str">
        <f t="shared" si="150"/>
        <v/>
      </c>
      <c r="Q983" s="4" t="str">
        <f t="shared" si="151"/>
        <v/>
      </c>
      <c r="R983" t="str">
        <f t="shared" si="152"/>
        <v/>
      </c>
      <c r="S983" t="str">
        <f t="shared" si="153"/>
        <v/>
      </c>
      <c r="T983" t="str">
        <f>IF(C983="","",InventoryTable[[#This Row],[Profit per Unit]]*InventoryTable[[#This Row],[Total Pieces]])</f>
        <v/>
      </c>
      <c r="U983" t="str">
        <f t="shared" si="154"/>
        <v/>
      </c>
      <c r="V983" t="str">
        <f>IF(C983="","",H983-InventoryTable[[#This Row],[Units Sold]])</f>
        <v/>
      </c>
      <c r="W983" t="str">
        <f t="shared" si="155"/>
        <v/>
      </c>
      <c r="X983" t="str">
        <f t="shared" si="156"/>
        <v/>
      </c>
      <c r="Y983" t="str">
        <f>IF(C983="","",IF(InventoryTable[[#This Row],[Stock Balance]]&lt;=0,"Sold Out",IF((InventoryTable[[#This Row],[Stock Balance]]/InventoryTable[[#This Row],[Total Pieces]])&lt;=0.25,"Low on Stocks","Available")))</f>
        <v/>
      </c>
    </row>
    <row r="984" spans="1:25" x14ac:dyDescent="0.3">
      <c r="A984" t="str">
        <f>IF(C984="","",_xlfn.CONCAT(LEFT(InventoryTable[[#This Row],[Category]],1),InventoryTable[[#This Row],[Product Pricing Type]],ROW()))</f>
        <v/>
      </c>
      <c r="H984" t="str">
        <f t="shared" si="147"/>
        <v/>
      </c>
      <c r="K984" t="str">
        <f t="shared" si="148"/>
        <v/>
      </c>
      <c r="N984" t="str">
        <f t="shared" si="149"/>
        <v/>
      </c>
      <c r="P984" t="str">
        <f t="shared" si="150"/>
        <v/>
      </c>
      <c r="Q984" s="4" t="str">
        <f t="shared" si="151"/>
        <v/>
      </c>
      <c r="R984" t="str">
        <f t="shared" si="152"/>
        <v/>
      </c>
      <c r="S984" t="str">
        <f t="shared" si="153"/>
        <v/>
      </c>
      <c r="T984" t="str">
        <f>IF(C984="","",InventoryTable[[#This Row],[Profit per Unit]]*InventoryTable[[#This Row],[Total Pieces]])</f>
        <v/>
      </c>
      <c r="U984" t="str">
        <f t="shared" si="154"/>
        <v/>
      </c>
      <c r="V984" t="str">
        <f>IF(C984="","",H984-InventoryTable[[#This Row],[Units Sold]])</f>
        <v/>
      </c>
      <c r="W984" t="str">
        <f t="shared" si="155"/>
        <v/>
      </c>
      <c r="X984" t="str">
        <f t="shared" si="156"/>
        <v/>
      </c>
      <c r="Y984" t="str">
        <f>IF(C984="","",IF(InventoryTable[[#This Row],[Stock Balance]]&lt;=0,"Sold Out",IF((InventoryTable[[#This Row],[Stock Balance]]/InventoryTable[[#This Row],[Total Pieces]])&lt;=0.25,"Low on Stocks","Available")))</f>
        <v/>
      </c>
    </row>
    <row r="985" spans="1:25" x14ac:dyDescent="0.3">
      <c r="A985" t="str">
        <f>IF(C985="","",_xlfn.CONCAT(LEFT(InventoryTable[[#This Row],[Category]],1),InventoryTable[[#This Row],[Product Pricing Type]],ROW()))</f>
        <v/>
      </c>
      <c r="H985" t="str">
        <f t="shared" si="147"/>
        <v/>
      </c>
      <c r="K985" t="str">
        <f t="shared" si="148"/>
        <v/>
      </c>
      <c r="N985" t="str">
        <f t="shared" si="149"/>
        <v/>
      </c>
      <c r="P985" t="str">
        <f t="shared" si="150"/>
        <v/>
      </c>
      <c r="Q985" s="4" t="str">
        <f t="shared" si="151"/>
        <v/>
      </c>
      <c r="R985" t="str">
        <f t="shared" si="152"/>
        <v/>
      </c>
      <c r="S985" t="str">
        <f t="shared" si="153"/>
        <v/>
      </c>
      <c r="T985" t="str">
        <f>IF(C985="","",InventoryTable[[#This Row],[Profit per Unit]]*InventoryTable[[#This Row],[Total Pieces]])</f>
        <v/>
      </c>
      <c r="U985" t="str">
        <f t="shared" si="154"/>
        <v/>
      </c>
      <c r="V985" t="str">
        <f>IF(C985="","",H985-InventoryTable[[#This Row],[Units Sold]])</f>
        <v/>
      </c>
      <c r="W985" t="str">
        <f t="shared" si="155"/>
        <v/>
      </c>
      <c r="X985" t="str">
        <f t="shared" si="156"/>
        <v/>
      </c>
      <c r="Y985" t="str">
        <f>IF(C985="","",IF(InventoryTable[[#This Row],[Stock Balance]]&lt;=0,"Sold Out",IF((InventoryTable[[#This Row],[Stock Balance]]/InventoryTable[[#This Row],[Total Pieces]])&lt;=0.25,"Low on Stocks","Available")))</f>
        <v/>
      </c>
    </row>
    <row r="986" spans="1:25" x14ac:dyDescent="0.3">
      <c r="A986" t="str">
        <f>IF(C986="","",_xlfn.CONCAT(LEFT(InventoryTable[[#This Row],[Category]],1),InventoryTable[[#This Row],[Product Pricing Type]],ROW()))</f>
        <v/>
      </c>
      <c r="H986" t="str">
        <f t="shared" si="147"/>
        <v/>
      </c>
      <c r="K986" t="str">
        <f t="shared" si="148"/>
        <v/>
      </c>
      <c r="N986" t="str">
        <f t="shared" si="149"/>
        <v/>
      </c>
      <c r="P986" t="str">
        <f t="shared" si="150"/>
        <v/>
      </c>
      <c r="Q986" s="4" t="str">
        <f t="shared" si="151"/>
        <v/>
      </c>
      <c r="R986" t="str">
        <f t="shared" si="152"/>
        <v/>
      </c>
      <c r="S986" t="str">
        <f t="shared" si="153"/>
        <v/>
      </c>
      <c r="T986" t="str">
        <f>IF(C986="","",InventoryTable[[#This Row],[Profit per Unit]]*InventoryTable[[#This Row],[Total Pieces]])</f>
        <v/>
      </c>
      <c r="U986" t="str">
        <f t="shared" si="154"/>
        <v/>
      </c>
      <c r="V986" t="str">
        <f>IF(C986="","",H986-InventoryTable[[#This Row],[Units Sold]])</f>
        <v/>
      </c>
      <c r="W986" t="str">
        <f t="shared" si="155"/>
        <v/>
      </c>
      <c r="X986" t="str">
        <f t="shared" si="156"/>
        <v/>
      </c>
      <c r="Y986" t="str">
        <f>IF(C986="","",IF(InventoryTable[[#This Row],[Stock Balance]]&lt;=0,"Sold Out",IF((InventoryTable[[#This Row],[Stock Balance]]/InventoryTable[[#This Row],[Total Pieces]])&lt;=0.25,"Low on Stocks","Available")))</f>
        <v/>
      </c>
    </row>
    <row r="987" spans="1:25" x14ac:dyDescent="0.3">
      <c r="A987" t="str">
        <f>IF(C987="","",_xlfn.CONCAT(LEFT(InventoryTable[[#This Row],[Category]],1),InventoryTable[[#This Row],[Product Pricing Type]],ROW()))</f>
        <v/>
      </c>
      <c r="H987" t="str">
        <f t="shared" si="147"/>
        <v/>
      </c>
      <c r="K987" t="str">
        <f t="shared" si="148"/>
        <v/>
      </c>
      <c r="N987" t="str">
        <f t="shared" si="149"/>
        <v/>
      </c>
      <c r="P987" t="str">
        <f t="shared" si="150"/>
        <v/>
      </c>
      <c r="Q987" s="4" t="str">
        <f t="shared" si="151"/>
        <v/>
      </c>
      <c r="R987" t="str">
        <f t="shared" si="152"/>
        <v/>
      </c>
      <c r="S987" t="str">
        <f t="shared" si="153"/>
        <v/>
      </c>
      <c r="T987" t="str">
        <f>IF(C987="","",InventoryTable[[#This Row],[Profit per Unit]]*InventoryTable[[#This Row],[Total Pieces]])</f>
        <v/>
      </c>
      <c r="U987" t="str">
        <f t="shared" si="154"/>
        <v/>
      </c>
      <c r="V987" t="str">
        <f>IF(C987="","",H987-InventoryTable[[#This Row],[Units Sold]])</f>
        <v/>
      </c>
      <c r="W987" t="str">
        <f t="shared" si="155"/>
        <v/>
      </c>
      <c r="X987" t="str">
        <f t="shared" si="156"/>
        <v/>
      </c>
      <c r="Y987" t="str">
        <f>IF(C987="","",IF(InventoryTable[[#This Row],[Stock Balance]]&lt;=0,"Sold Out",IF((InventoryTable[[#This Row],[Stock Balance]]/InventoryTable[[#This Row],[Total Pieces]])&lt;=0.25,"Low on Stocks","Available")))</f>
        <v/>
      </c>
    </row>
    <row r="988" spans="1:25" x14ac:dyDescent="0.3">
      <c r="A988" t="str">
        <f>IF(C988="","",_xlfn.CONCAT(LEFT(InventoryTable[[#This Row],[Category]],1),InventoryTable[[#This Row],[Product Pricing Type]],ROW()))</f>
        <v/>
      </c>
      <c r="H988" t="str">
        <f t="shared" si="147"/>
        <v/>
      </c>
      <c r="K988" t="str">
        <f t="shared" si="148"/>
        <v/>
      </c>
      <c r="N988" t="str">
        <f t="shared" si="149"/>
        <v/>
      </c>
      <c r="P988" t="str">
        <f t="shared" si="150"/>
        <v/>
      </c>
      <c r="Q988" s="4" t="str">
        <f t="shared" si="151"/>
        <v/>
      </c>
      <c r="R988" t="str">
        <f t="shared" si="152"/>
        <v/>
      </c>
      <c r="S988" t="str">
        <f t="shared" si="153"/>
        <v/>
      </c>
      <c r="T988" t="str">
        <f>IF(C988="","",InventoryTable[[#This Row],[Profit per Unit]]*InventoryTable[[#This Row],[Total Pieces]])</f>
        <v/>
      </c>
      <c r="U988" t="str">
        <f t="shared" si="154"/>
        <v/>
      </c>
      <c r="V988" t="str">
        <f>IF(C988="","",H988-InventoryTable[[#This Row],[Units Sold]])</f>
        <v/>
      </c>
      <c r="W988" t="str">
        <f t="shared" si="155"/>
        <v/>
      </c>
      <c r="X988" t="str">
        <f t="shared" si="156"/>
        <v/>
      </c>
      <c r="Y988" t="str">
        <f>IF(C988="","",IF(InventoryTable[[#This Row],[Stock Balance]]&lt;=0,"Sold Out",IF((InventoryTable[[#This Row],[Stock Balance]]/InventoryTable[[#This Row],[Total Pieces]])&lt;=0.25,"Low on Stocks","Available")))</f>
        <v/>
      </c>
    </row>
    <row r="989" spans="1:25" x14ac:dyDescent="0.3">
      <c r="A989" t="str">
        <f>IF(C989="","",_xlfn.CONCAT(LEFT(InventoryTable[[#This Row],[Category]],1),InventoryTable[[#This Row],[Product Pricing Type]],ROW()))</f>
        <v/>
      </c>
      <c r="H989" t="str">
        <f t="shared" si="147"/>
        <v/>
      </c>
      <c r="K989" t="str">
        <f t="shared" si="148"/>
        <v/>
      </c>
      <c r="N989" t="str">
        <f t="shared" si="149"/>
        <v/>
      </c>
      <c r="P989" t="str">
        <f t="shared" si="150"/>
        <v/>
      </c>
      <c r="Q989" s="4" t="str">
        <f t="shared" si="151"/>
        <v/>
      </c>
      <c r="R989" t="str">
        <f t="shared" si="152"/>
        <v/>
      </c>
      <c r="S989" t="str">
        <f t="shared" si="153"/>
        <v/>
      </c>
      <c r="T989" t="str">
        <f>IF(C989="","",InventoryTable[[#This Row],[Profit per Unit]]*InventoryTable[[#This Row],[Total Pieces]])</f>
        <v/>
      </c>
      <c r="U989" t="str">
        <f t="shared" si="154"/>
        <v/>
      </c>
      <c r="V989" t="str">
        <f>IF(C989="","",H989-InventoryTable[[#This Row],[Units Sold]])</f>
        <v/>
      </c>
      <c r="W989" t="str">
        <f t="shared" si="155"/>
        <v/>
      </c>
      <c r="X989" t="str">
        <f t="shared" si="156"/>
        <v/>
      </c>
      <c r="Y989" t="str">
        <f>IF(C989="","",IF(InventoryTable[[#This Row],[Stock Balance]]&lt;=0,"Sold Out",IF((InventoryTable[[#This Row],[Stock Balance]]/InventoryTable[[#This Row],[Total Pieces]])&lt;=0.25,"Low on Stocks","Available")))</f>
        <v/>
      </c>
    </row>
    <row r="990" spans="1:25" x14ac:dyDescent="0.3">
      <c r="A990" t="str">
        <f>IF(C990="","",_xlfn.CONCAT(LEFT(InventoryTable[[#This Row],[Category]],1),InventoryTable[[#This Row],[Product Pricing Type]],ROW()))</f>
        <v/>
      </c>
      <c r="H990" t="str">
        <f t="shared" si="147"/>
        <v/>
      </c>
      <c r="K990" t="str">
        <f t="shared" si="148"/>
        <v/>
      </c>
      <c r="N990" t="str">
        <f t="shared" si="149"/>
        <v/>
      </c>
      <c r="P990" t="str">
        <f t="shared" si="150"/>
        <v/>
      </c>
      <c r="Q990" s="4" t="str">
        <f t="shared" si="151"/>
        <v/>
      </c>
      <c r="R990" t="str">
        <f t="shared" si="152"/>
        <v/>
      </c>
      <c r="S990" t="str">
        <f t="shared" si="153"/>
        <v/>
      </c>
      <c r="T990" t="str">
        <f>IF(C990="","",InventoryTable[[#This Row],[Profit per Unit]]*InventoryTable[[#This Row],[Total Pieces]])</f>
        <v/>
      </c>
      <c r="U990" t="str">
        <f t="shared" si="154"/>
        <v/>
      </c>
      <c r="V990" t="str">
        <f>IF(C990="","",H990-InventoryTable[[#This Row],[Units Sold]])</f>
        <v/>
      </c>
      <c r="W990" t="str">
        <f t="shared" si="155"/>
        <v/>
      </c>
      <c r="X990" t="str">
        <f t="shared" si="156"/>
        <v/>
      </c>
      <c r="Y990" t="str">
        <f>IF(C990="","",IF(InventoryTable[[#This Row],[Stock Balance]]&lt;=0,"Sold Out",IF((InventoryTable[[#This Row],[Stock Balance]]/InventoryTable[[#This Row],[Total Pieces]])&lt;=0.25,"Low on Stocks","Available")))</f>
        <v/>
      </c>
    </row>
  </sheetData>
  <conditionalFormatting sqref="S2:S1048576">
    <cfRule type="cellIs" dxfId="3" priority="4" operator="greaterThanOrEqual">
      <formula>4</formula>
    </cfRule>
  </conditionalFormatting>
  <conditionalFormatting sqref="Y1:Y1048576">
    <cfRule type="cellIs" dxfId="2" priority="1" operator="equal">
      <formula>"Low on STocks"</formula>
    </cfRule>
    <cfRule type="cellIs" dxfId="1" priority="2" operator="equal">
      <formula>"Sold Out"</formula>
    </cfRule>
    <cfRule type="cellIs" dxfId="0" priority="3" operator="equal">
      <formula>"Available"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BFF4-1CF8-4026-BB2C-9B092AA64CD5}">
  <sheetPr codeName="Sheet3"/>
  <dimension ref="A1:B3"/>
  <sheetViews>
    <sheetView workbookViewId="0">
      <selection activeCell="C1" sqref="C1:C1048576"/>
    </sheetView>
  </sheetViews>
  <sheetFormatPr defaultRowHeight="14.4" x14ac:dyDescent="0.3"/>
  <sheetData>
    <row r="1" spans="1:2" x14ac:dyDescent="0.3">
      <c r="A1" t="s">
        <v>202</v>
      </c>
      <c r="B1" t="s">
        <v>203</v>
      </c>
    </row>
    <row r="2" spans="1:2" x14ac:dyDescent="0.3">
      <c r="A2">
        <v>1</v>
      </c>
      <c r="B2" t="s">
        <v>61</v>
      </c>
    </row>
    <row r="3" spans="1:2" x14ac:dyDescent="0.3">
      <c r="A3">
        <v>0</v>
      </c>
      <c r="B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 Inventory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Llandilar</dc:creator>
  <cp:lastModifiedBy>Adrian Llandilar</cp:lastModifiedBy>
  <dcterms:created xsi:type="dcterms:W3CDTF">2026-09-03T07:47:16Z</dcterms:created>
  <dcterms:modified xsi:type="dcterms:W3CDTF">2026-09-06T15:00:44Z</dcterms:modified>
</cp:coreProperties>
</file>